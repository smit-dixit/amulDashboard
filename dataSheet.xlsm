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Z:\New Projects\"/>
    </mc:Choice>
  </mc:AlternateContent>
  <xr:revisionPtr revIDLastSave="0" documentId="13_ncr:1_{1001186D-BECA-4A5A-89D5-F07159CB39FF}" xr6:coauthVersionLast="47" xr6:coauthVersionMax="47" xr10:uidLastSave="{00000000-0000-0000-0000-000000000000}"/>
  <bookViews>
    <workbookView xWindow="-110" yWindow="-110" windowWidth="19420" windowHeight="10420" tabRatio="614" xr2:uid="{00000000-000D-0000-FFFF-FFFF00000000}"/>
  </bookViews>
  <sheets>
    <sheet name="Dash Sheet" sheetId="3" r:id="rId1"/>
    <sheet name="Final" sheetId="8" state="hidden" r:id="rId2"/>
  </sheets>
  <definedNames>
    <definedName name="_xlnm._FilterDatabase" localSheetId="0" hidden="1">'Dash Sheet'!$A$2:$DH$69</definedName>
    <definedName name="Column01">#REF!</definedName>
    <definedName name="Column02">#REF!</definedName>
    <definedName name="Column03">#REF!</definedName>
    <definedName name="Column04">#REF!</definedName>
    <definedName name="Column05">#REF!</definedName>
    <definedName name="Column06">#REF!</definedName>
    <definedName name="Column07">#REF!</definedName>
    <definedName name="Column08">#REF!</definedName>
    <definedName name="Column09">#REF!</definedName>
    <definedName name="Column1">#REF!</definedName>
    <definedName name="Column10">#REF!</definedName>
    <definedName name="Column2">#REF!</definedName>
    <definedName name="Column3">#REF!</definedName>
    <definedName name="Column4">#REF!</definedName>
    <definedName name="Column5">#REF!</definedName>
    <definedName name="Column6">#REF!</definedName>
    <definedName name="Column7">#REF!</definedName>
    <definedName name="Column8">#REF!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Z67" i="3" l="1"/>
  <c r="CZ65" i="3"/>
  <c r="DH62" i="3"/>
  <c r="DG62" i="3"/>
  <c r="DF62" i="3"/>
  <c r="BH62" i="3"/>
  <c r="BG62" i="3"/>
  <c r="BF62" i="3"/>
  <c r="BE62" i="3"/>
  <c r="BD62" i="3"/>
  <c r="BC62" i="3"/>
  <c r="AL62" i="3"/>
  <c r="CC61" i="3"/>
  <c r="CC58" i="3"/>
  <c r="CQ55" i="3"/>
  <c r="CZ53" i="3"/>
  <c r="DH52" i="3"/>
  <c r="DG52" i="3"/>
  <c r="DF52" i="3"/>
  <c r="CZ52" i="3"/>
  <c r="BH52" i="3"/>
  <c r="BF52" i="3"/>
  <c r="BE52" i="3"/>
  <c r="BD52" i="3"/>
  <c r="BC52" i="3"/>
  <c r="AL52" i="3"/>
  <c r="CK50" i="3"/>
  <c r="CZ49" i="3"/>
  <c r="CC49" i="3"/>
  <c r="CZ47" i="3"/>
  <c r="CC47" i="3"/>
  <c r="CZ46" i="3"/>
  <c r="CQ45" i="3"/>
  <c r="CQ44" i="3"/>
  <c r="CZ43" i="3"/>
  <c r="CQ43" i="3"/>
  <c r="DH42" i="3"/>
  <c r="DG42" i="3"/>
  <c r="DF42" i="3"/>
  <c r="CZ42" i="3"/>
  <c r="CQ42" i="3"/>
  <c r="CK42" i="3"/>
  <c r="CJ42" i="3"/>
  <c r="BH42" i="3"/>
  <c r="BF42" i="3"/>
  <c r="BE42" i="3"/>
  <c r="BC42" i="3"/>
  <c r="AL42" i="3"/>
  <c r="CC41" i="3"/>
  <c r="CC40" i="3"/>
  <c r="CD41" i="3" s="1"/>
  <c r="CC39" i="3"/>
  <c r="DH38" i="3"/>
  <c r="DG38" i="3"/>
  <c r="DF38" i="3"/>
  <c r="CC38" i="3"/>
  <c r="BH38" i="3"/>
  <c r="BF38" i="3"/>
  <c r="BE38" i="3"/>
  <c r="BD38" i="3"/>
  <c r="BC38" i="3"/>
  <c r="AL38" i="3"/>
  <c r="DH37" i="3"/>
  <c r="DG37" i="3"/>
  <c r="DF37" i="3"/>
  <c r="CZ37" i="3"/>
  <c r="CL37" i="3"/>
  <c r="CJ37" i="3"/>
  <c r="BH37" i="3"/>
  <c r="BF37" i="3"/>
  <c r="BE37" i="3"/>
  <c r="BD37" i="3"/>
  <c r="BC37" i="3"/>
  <c r="AL37" i="3"/>
  <c r="DH36" i="3"/>
  <c r="DG36" i="3"/>
  <c r="DF36" i="3"/>
  <c r="CL36" i="3"/>
  <c r="CJ36" i="3"/>
  <c r="BH36" i="3"/>
  <c r="BF36" i="3"/>
  <c r="BE36" i="3"/>
  <c r="BD36" i="3"/>
  <c r="BC36" i="3"/>
  <c r="AL36" i="3"/>
  <c r="DH35" i="3"/>
  <c r="DG35" i="3"/>
  <c r="DF35" i="3"/>
  <c r="CZ35" i="3"/>
  <c r="CL35" i="3"/>
  <c r="CJ35" i="3"/>
  <c r="BH35" i="3"/>
  <c r="BF35" i="3"/>
  <c r="BE35" i="3"/>
  <c r="BD35" i="3"/>
  <c r="BC35" i="3"/>
  <c r="AL35" i="3"/>
  <c r="DH34" i="3"/>
  <c r="DG34" i="3"/>
  <c r="DF34" i="3"/>
  <c r="CZ34" i="3"/>
  <c r="CL34" i="3"/>
  <c r="CJ34" i="3"/>
  <c r="CC34" i="3"/>
  <c r="BH34" i="3"/>
  <c r="BF34" i="3"/>
  <c r="BE34" i="3"/>
  <c r="BD34" i="3"/>
  <c r="BC34" i="3"/>
  <c r="AL34" i="3"/>
  <c r="DH33" i="3"/>
  <c r="DG33" i="3"/>
  <c r="DF33" i="3"/>
  <c r="BH33" i="3"/>
  <c r="BF33" i="3"/>
  <c r="BE33" i="3"/>
  <c r="BD33" i="3"/>
  <c r="BC33" i="3"/>
  <c r="AL33" i="3"/>
  <c r="DH32" i="3"/>
  <c r="DG32" i="3"/>
  <c r="DF32" i="3"/>
  <c r="CQ32" i="3"/>
  <c r="CL32" i="3"/>
  <c r="CJ32" i="3"/>
  <c r="BH32" i="3"/>
  <c r="BF32" i="3"/>
  <c r="BE32" i="3"/>
  <c r="BD32" i="3"/>
  <c r="BC32" i="3"/>
  <c r="AL32" i="3"/>
  <c r="DH31" i="3"/>
  <c r="DG31" i="3"/>
  <c r="DF31" i="3"/>
  <c r="CJ31" i="3"/>
  <c r="CC31" i="3"/>
  <c r="BH31" i="3"/>
  <c r="BF31" i="3"/>
  <c r="BE31" i="3"/>
  <c r="BD31" i="3"/>
  <c r="BC31" i="3"/>
  <c r="AN31" i="3"/>
  <c r="AL31" i="3"/>
  <c r="DH30" i="3"/>
  <c r="DG30" i="3"/>
  <c r="DF30" i="3"/>
  <c r="CJ30" i="3"/>
  <c r="CI30" i="3"/>
  <c r="BH30" i="3"/>
  <c r="BF30" i="3"/>
  <c r="BE30" i="3"/>
  <c r="BD30" i="3"/>
  <c r="BC30" i="3"/>
  <c r="AL30" i="3"/>
  <c r="DH29" i="3"/>
  <c r="DG29" i="3"/>
  <c r="DF29" i="3"/>
  <c r="CL29" i="3"/>
  <c r="BH29" i="3"/>
  <c r="BF29" i="3"/>
  <c r="BE29" i="3"/>
  <c r="BD29" i="3"/>
  <c r="BC29" i="3"/>
  <c r="AL29" i="3"/>
  <c r="CC26" i="3"/>
  <c r="CJ25" i="3"/>
  <c r="AN25" i="3"/>
  <c r="DH22" i="3"/>
  <c r="DG22" i="3"/>
  <c r="DF22" i="3"/>
  <c r="CK22" i="3"/>
  <c r="CJ22" i="3"/>
  <c r="BH22" i="3"/>
  <c r="BF22" i="3"/>
  <c r="BE22" i="3"/>
  <c r="BD22" i="3"/>
  <c r="BC22" i="3"/>
  <c r="AL22" i="3"/>
  <c r="CQ21" i="3"/>
  <c r="CZ20" i="3"/>
  <c r="CZ18" i="3"/>
  <c r="CC15" i="3"/>
  <c r="CC13" i="3"/>
  <c r="DH12" i="3"/>
  <c r="DG12" i="3"/>
  <c r="DF12" i="3"/>
  <c r="CZ12" i="3"/>
  <c r="CQ12" i="3"/>
  <c r="CJ12" i="3"/>
  <c r="CD12" i="3"/>
  <c r="BH12" i="3"/>
  <c r="BF12" i="3"/>
  <c r="BE12" i="3"/>
  <c r="BD12" i="3"/>
  <c r="BC12" i="3"/>
  <c r="AL12" i="3"/>
  <c r="CZ9" i="3"/>
  <c r="CC5" i="3"/>
  <c r="CC4" i="3"/>
  <c r="CZ3" i="3"/>
  <c r="CR3" i="3"/>
  <c r="CQ3" i="3"/>
  <c r="CK3" i="3"/>
  <c r="AM68" i="3"/>
  <c r="AN67" i="3"/>
  <c r="DH61" i="3"/>
  <c r="DG61" i="3"/>
  <c r="DF61" i="3"/>
  <c r="CZ61" i="3"/>
  <c r="BF61" i="3"/>
  <c r="BE61" i="3"/>
  <c r="BD61" i="3"/>
  <c r="BC61" i="3"/>
  <c r="AL61" i="3"/>
  <c r="CI60" i="3"/>
  <c r="CJ61" i="3" s="1"/>
  <c r="CC60" i="3"/>
  <c r="CD61" i="3" s="1"/>
  <c r="CZ59" i="3"/>
  <c r="CZ58" i="3"/>
  <c r="CZ57" i="3"/>
  <c r="CZ56" i="3"/>
  <c r="CZ55" i="3"/>
  <c r="DH51" i="3"/>
  <c r="DG51" i="3"/>
  <c r="DF51" i="3"/>
  <c r="BH51" i="3"/>
  <c r="BF51" i="3"/>
  <c r="BE51" i="3"/>
  <c r="BD51" i="3"/>
  <c r="BC51" i="3"/>
  <c r="AL51" i="3"/>
  <c r="CZ45" i="3"/>
  <c r="CZ44" i="3"/>
  <c r="CI43" i="3"/>
  <c r="AN43" i="3"/>
  <c r="AM43" i="3"/>
  <c r="CR42" i="3"/>
  <c r="DH41" i="3"/>
  <c r="DG41" i="3"/>
  <c r="DF41" i="3"/>
  <c r="BH41" i="3"/>
  <c r="BF41" i="3"/>
  <c r="BE41" i="3"/>
  <c r="BD41" i="3"/>
  <c r="BC41" i="3"/>
  <c r="AN41" i="3"/>
  <c r="AL41" i="3"/>
  <c r="CZ36" i="3"/>
  <c r="BQ33" i="3"/>
  <c r="CZ31" i="3"/>
  <c r="CZ30" i="3"/>
  <c r="CZ29" i="3"/>
  <c r="DH28" i="3"/>
  <c r="DG28" i="3"/>
  <c r="DF28" i="3"/>
  <c r="CL28" i="3"/>
  <c r="CJ28" i="3"/>
  <c r="BH28" i="3"/>
  <c r="BF28" i="3"/>
  <c r="BE28" i="3"/>
  <c r="BD28" i="3"/>
  <c r="BC28" i="3"/>
  <c r="AL28" i="3"/>
  <c r="DH27" i="3"/>
  <c r="DG27" i="3"/>
  <c r="DF27" i="3"/>
  <c r="BH27" i="3"/>
  <c r="BF27" i="3"/>
  <c r="BE27" i="3"/>
  <c r="BD27" i="3"/>
  <c r="BC27" i="3"/>
  <c r="AL27" i="3"/>
  <c r="DH26" i="3"/>
  <c r="DG26" i="3"/>
  <c r="DF26" i="3"/>
  <c r="CZ26" i="3"/>
  <c r="BH26" i="3"/>
  <c r="BF26" i="3"/>
  <c r="BE26" i="3"/>
  <c r="BD26" i="3"/>
  <c r="BC26" i="3"/>
  <c r="AL26" i="3"/>
  <c r="DH25" i="3"/>
  <c r="DG25" i="3"/>
  <c r="DF25" i="3"/>
  <c r="CL25" i="3"/>
  <c r="CK25" i="3"/>
  <c r="BH25" i="3"/>
  <c r="BF25" i="3"/>
  <c r="BE25" i="3"/>
  <c r="BD25" i="3"/>
  <c r="BC25" i="3"/>
  <c r="AL25" i="3"/>
  <c r="DH24" i="3"/>
  <c r="DG24" i="3"/>
  <c r="DF24" i="3"/>
  <c r="CJ24" i="3"/>
  <c r="BH24" i="3"/>
  <c r="BF24" i="3"/>
  <c r="BE24" i="3"/>
  <c r="BD24" i="3"/>
  <c r="BC24" i="3"/>
  <c r="AL24" i="3"/>
  <c r="DH23" i="3"/>
  <c r="DG23" i="3"/>
  <c r="DF23" i="3"/>
  <c r="CL23" i="3"/>
  <c r="CJ23" i="3"/>
  <c r="BH23" i="3"/>
  <c r="BF23" i="3"/>
  <c r="BE23" i="3"/>
  <c r="BD23" i="3"/>
  <c r="BC23" i="3"/>
  <c r="AL23" i="3"/>
  <c r="DH21" i="3"/>
  <c r="DG21" i="3"/>
  <c r="DF21" i="3"/>
  <c r="CJ21" i="3"/>
  <c r="CI21" i="3"/>
  <c r="BH21" i="3"/>
  <c r="BF21" i="3"/>
  <c r="BE21" i="3"/>
  <c r="BD21" i="3"/>
  <c r="BC21" i="3"/>
  <c r="AL21" i="3"/>
  <c r="DH20" i="3"/>
  <c r="DG20" i="3"/>
  <c r="DF20" i="3"/>
  <c r="BH20" i="3"/>
  <c r="BF20" i="3"/>
  <c r="BE20" i="3"/>
  <c r="BD20" i="3"/>
  <c r="BC20" i="3"/>
  <c r="AL20" i="3"/>
  <c r="DH19" i="3"/>
  <c r="DG19" i="3"/>
  <c r="DF19" i="3"/>
  <c r="CC19" i="3"/>
  <c r="BH19" i="3"/>
  <c r="BF19" i="3"/>
  <c r="BE19" i="3"/>
  <c r="BD19" i="3"/>
  <c r="BC19" i="3"/>
  <c r="AL19" i="3"/>
  <c r="CZ16" i="3"/>
  <c r="CZ15" i="3"/>
  <c r="CZ14" i="3"/>
  <c r="CZ13" i="3"/>
  <c r="DH11" i="3"/>
  <c r="DG11" i="3"/>
  <c r="DF11" i="3"/>
  <c r="CJ11" i="3"/>
  <c r="BH11" i="3"/>
  <c r="BF11" i="3"/>
  <c r="BE11" i="3"/>
  <c r="BD11" i="3"/>
  <c r="BC11" i="3"/>
  <c r="AL11" i="3"/>
  <c r="CZ7" i="3"/>
  <c r="CZ5" i="3"/>
  <c r="AM5" i="3"/>
  <c r="BE66" i="3" l="1"/>
  <c r="BD66" i="3"/>
  <c r="BC66" i="3"/>
  <c r="DH67" i="3"/>
  <c r="DH65" i="3" l="1"/>
  <c r="DG65" i="3"/>
  <c r="DF65" i="3"/>
  <c r="DH66" i="3"/>
  <c r="DG66" i="3"/>
  <c r="DF66" i="3"/>
  <c r="DH68" i="3"/>
  <c r="DG68" i="3"/>
  <c r="DF68" i="3"/>
  <c r="AL68" i="3"/>
  <c r="AL67" i="3"/>
  <c r="BH68" i="3" l="1"/>
  <c r="BH67" i="3"/>
  <c r="BH66" i="3"/>
  <c r="BF68" i="3"/>
  <c r="BF67" i="3"/>
  <c r="BF66" i="3"/>
  <c r="BE68" i="3"/>
  <c r="BE67" i="3"/>
  <c r="BD68" i="3"/>
  <c r="BC68" i="3"/>
  <c r="BG68" i="3" s="1"/>
  <c r="BC67" i="3"/>
  <c r="BG67" i="3" s="1"/>
  <c r="BC65" i="3"/>
  <c r="BG65" i="3" s="1"/>
  <c r="BF65" i="3"/>
  <c r="BE65" i="3"/>
  <c r="BD65" i="3"/>
  <c r="BH65" i="3"/>
  <c r="AL65" i="3"/>
  <c r="DG67" i="3"/>
  <c r="DF67" i="3"/>
  <c r="BG66" i="3" l="1"/>
  <c r="BD67" i="3" l="1"/>
  <c r="CJ6" i="3" l="1"/>
  <c r="CL6" i="3" s="1"/>
  <c r="CJ39" i="3" l="1"/>
  <c r="CL39" i="3" s="1"/>
  <c r="CI29" i="3" l="1"/>
  <c r="BG64" i="3" l="1"/>
  <c r="BF60" i="3"/>
  <c r="BF59" i="3"/>
  <c r="BF58" i="3"/>
  <c r="BF57" i="3"/>
  <c r="BF56" i="3"/>
  <c r="BF55" i="3"/>
  <c r="BF54" i="3"/>
  <c r="BF53" i="3"/>
  <c r="BF9" i="3"/>
  <c r="BF50" i="3"/>
  <c r="BF18" i="3"/>
  <c r="BF49" i="3"/>
  <c r="BF15" i="3"/>
  <c r="BF48" i="3"/>
  <c r="BF14" i="3"/>
  <c r="BF8" i="3"/>
  <c r="BF46" i="3"/>
  <c r="BF13" i="3"/>
  <c r="BF17" i="3"/>
  <c r="BF3" i="3"/>
  <c r="BF44" i="3"/>
  <c r="BF43" i="3"/>
  <c r="BF4" i="3"/>
  <c r="BF39" i="3"/>
  <c r="BF5" i="3"/>
  <c r="BF7" i="3"/>
  <c r="BF6" i="3"/>
  <c r="BF16" i="3"/>
  <c r="BF10" i="3"/>
  <c r="BF64" i="3"/>
  <c r="DH64" i="3"/>
  <c r="DH63" i="3"/>
  <c r="DH10" i="3"/>
  <c r="DH16" i="3"/>
  <c r="DH6" i="3"/>
  <c r="DH7" i="3"/>
  <c r="DH5" i="3"/>
  <c r="DH39" i="3"/>
  <c r="DH40" i="3"/>
  <c r="DH4" i="3"/>
  <c r="DH43" i="3"/>
  <c r="DH44" i="3"/>
  <c r="DH45" i="3"/>
  <c r="DH3" i="3"/>
  <c r="DH17" i="3"/>
  <c r="DH13" i="3"/>
  <c r="DH46" i="3"/>
  <c r="DH8" i="3"/>
  <c r="DH47" i="3"/>
  <c r="DH14" i="3"/>
  <c r="DH48" i="3"/>
  <c r="DH15" i="3"/>
  <c r="DH49" i="3"/>
  <c r="DH18" i="3"/>
  <c r="DH50" i="3"/>
  <c r="DH9" i="3"/>
  <c r="DH53" i="3"/>
  <c r="DH54" i="3"/>
  <c r="DH55" i="3"/>
  <c r="DH56" i="3"/>
  <c r="DH57" i="3"/>
  <c r="DH58" i="3"/>
  <c r="DH59" i="3"/>
  <c r="DH60" i="3"/>
  <c r="BF45" i="3" l="1"/>
  <c r="BF40" i="3"/>
  <c r="BE45" i="3"/>
  <c r="BE40" i="3"/>
  <c r="BE6" i="3"/>
  <c r="BD49" i="3"/>
  <c r="BD48" i="3"/>
  <c r="BD46" i="3"/>
  <c r="BD3" i="3"/>
  <c r="BD45" i="3"/>
  <c r="BD40" i="3"/>
  <c r="BD6" i="3"/>
  <c r="BC3" i="3"/>
  <c r="BG3" i="3" s="1"/>
  <c r="BC45" i="3"/>
  <c r="BG45" i="3" s="1"/>
  <c r="BC40" i="3"/>
  <c r="BC6" i="3"/>
  <c r="BG6" i="3" s="1"/>
  <c r="BG40" i="3" l="1"/>
  <c r="BG41" i="3"/>
  <c r="AT19" i="3" l="1"/>
  <c r="DF54" i="3" l="1"/>
  <c r="DG54" i="3"/>
  <c r="DF55" i="3"/>
  <c r="DG55" i="3"/>
  <c r="DF56" i="3"/>
  <c r="DG56" i="3"/>
  <c r="BH54" i="3"/>
  <c r="BH53" i="3"/>
  <c r="BH55" i="3"/>
  <c r="BH56" i="3"/>
  <c r="BH57" i="3"/>
  <c r="BH58" i="3"/>
  <c r="BH59" i="3"/>
  <c r="BH60" i="3"/>
  <c r="BD56" i="3" l="1"/>
  <c r="BD57" i="3"/>
  <c r="BD58" i="3"/>
  <c r="BD59" i="3"/>
  <c r="BD60" i="3"/>
  <c r="BE56" i="3"/>
  <c r="BE57" i="3"/>
  <c r="BE58" i="3"/>
  <c r="BE59" i="3"/>
  <c r="BE60" i="3"/>
  <c r="BC56" i="3"/>
  <c r="BC57" i="3"/>
  <c r="BC58" i="3"/>
  <c r="BC59" i="3"/>
  <c r="BG59" i="3" s="1"/>
  <c r="BC60" i="3"/>
  <c r="CJ58" i="3"/>
  <c r="CL58" i="3" s="1"/>
  <c r="CJ60" i="3"/>
  <c r="AL55" i="3"/>
  <c r="AL56" i="3"/>
  <c r="AL57" i="3"/>
  <c r="AL58" i="3"/>
  <c r="AL59" i="3"/>
  <c r="AL60" i="3"/>
  <c r="BG57" i="3" l="1"/>
  <c r="BG37" i="3"/>
  <c r="BG58" i="3"/>
  <c r="BG38" i="3"/>
  <c r="BG60" i="3"/>
  <c r="BG61" i="3"/>
  <c r="BG56" i="3"/>
  <c r="BG36" i="3"/>
  <c r="CL60" i="3"/>
  <c r="CL61" i="3"/>
  <c r="DF57" i="3"/>
  <c r="DG57" i="3"/>
  <c r="DF58" i="3"/>
  <c r="DG58" i="3"/>
  <c r="DF59" i="3"/>
  <c r="DG59" i="3"/>
  <c r="DF60" i="3"/>
  <c r="DG60" i="3"/>
  <c r="CI9" i="3" l="1"/>
  <c r="CJ9" i="3" l="1"/>
  <c r="CJ19" i="3"/>
  <c r="CJ50" i="3"/>
  <c r="CL9" i="3" l="1"/>
  <c r="CL19" i="3"/>
  <c r="CL50" i="3"/>
  <c r="CL30" i="3"/>
  <c r="CL31" i="3"/>
  <c r="AL48" i="3"/>
  <c r="AL15" i="3"/>
  <c r="CJ47" i="3"/>
  <c r="CL47" i="3" s="1"/>
  <c r="CJ14" i="3"/>
  <c r="CL22" i="3" s="1"/>
  <c r="BC47" i="3"/>
  <c r="BC14" i="3"/>
  <c r="BG12" i="3" l="1"/>
  <c r="BG24" i="3"/>
  <c r="BG22" i="3"/>
  <c r="CL14" i="3"/>
  <c r="CL24" i="3"/>
  <c r="BG14" i="3"/>
  <c r="CJ46" i="3" l="1"/>
  <c r="AN44" i="3" l="1"/>
  <c r="BD42" i="3" s="1"/>
  <c r="DF43" i="3" l="1"/>
  <c r="DG43" i="3"/>
  <c r="DF44" i="3"/>
  <c r="DG44" i="3"/>
  <c r="DF45" i="3"/>
  <c r="DG45" i="3"/>
  <c r="DF3" i="3"/>
  <c r="DG3" i="3"/>
  <c r="DF17" i="3"/>
  <c r="DG17" i="3"/>
  <c r="DF13" i="3"/>
  <c r="DG13" i="3"/>
  <c r="DF46" i="3"/>
  <c r="DG46" i="3"/>
  <c r="DF8" i="3"/>
  <c r="DG8" i="3"/>
  <c r="DF47" i="3"/>
  <c r="DG47" i="3"/>
  <c r="DF14" i="3"/>
  <c r="DG14" i="3"/>
  <c r="DF48" i="3"/>
  <c r="DG48" i="3"/>
  <c r="DF15" i="3"/>
  <c r="DG15" i="3"/>
  <c r="DF49" i="3"/>
  <c r="DG49" i="3"/>
  <c r="DF18" i="3"/>
  <c r="DG18" i="3"/>
  <c r="DF50" i="3"/>
  <c r="DG50" i="3"/>
  <c r="DF9" i="3"/>
  <c r="DG9" i="3"/>
  <c r="DF53" i="3"/>
  <c r="DG53" i="3"/>
  <c r="CD5" i="3"/>
  <c r="CD39" i="3"/>
  <c r="CD40" i="3"/>
  <c r="CL46" i="3" l="1"/>
  <c r="CJ43" i="3"/>
  <c r="CL43" i="3" s="1"/>
  <c r="CJ44" i="3"/>
  <c r="CJ45" i="3"/>
  <c r="CL45" i="3" s="1"/>
  <c r="CJ3" i="3"/>
  <c r="CL3" i="3" s="1"/>
  <c r="CJ17" i="3"/>
  <c r="CL17" i="3" s="1"/>
  <c r="AL43" i="3"/>
  <c r="AL44" i="3"/>
  <c r="AL45" i="3"/>
  <c r="AL3" i="3"/>
  <c r="AL17" i="3"/>
  <c r="AL13" i="3"/>
  <c r="AL46" i="3"/>
  <c r="AL8" i="3"/>
  <c r="AL47" i="3"/>
  <c r="AL14" i="3"/>
  <c r="AL49" i="3"/>
  <c r="AL18" i="3"/>
  <c r="AL50" i="3"/>
  <c r="AL9" i="3"/>
  <c r="AL53" i="3"/>
  <c r="AL54" i="3"/>
  <c r="BH45" i="3"/>
  <c r="BE3" i="3"/>
  <c r="BC17" i="3"/>
  <c r="BD17" i="3"/>
  <c r="BE17" i="3"/>
  <c r="BH17" i="3"/>
  <c r="BC13" i="3"/>
  <c r="BD13" i="3"/>
  <c r="BE13" i="3"/>
  <c r="BH13" i="3"/>
  <c r="BC46" i="3"/>
  <c r="BG46" i="3" s="1"/>
  <c r="BE46" i="3"/>
  <c r="BH46" i="3"/>
  <c r="BC8" i="3"/>
  <c r="BG8" i="3" s="1"/>
  <c r="BD8" i="3"/>
  <c r="BE8" i="3"/>
  <c r="BH8" i="3"/>
  <c r="BG47" i="3"/>
  <c r="BD47" i="3"/>
  <c r="BE47" i="3"/>
  <c r="BF47" i="3"/>
  <c r="BH47" i="3"/>
  <c r="BD14" i="3"/>
  <c r="BE14" i="3"/>
  <c r="BH14" i="3"/>
  <c r="BC48" i="3"/>
  <c r="BE48" i="3"/>
  <c r="BH48" i="3"/>
  <c r="BC15" i="3"/>
  <c r="BD15" i="3"/>
  <c r="BE15" i="3"/>
  <c r="BH15" i="3"/>
  <c r="BC49" i="3"/>
  <c r="BE49" i="3"/>
  <c r="BH49" i="3"/>
  <c r="BC18" i="3"/>
  <c r="BD18" i="3"/>
  <c r="BE18" i="3"/>
  <c r="BC50" i="3"/>
  <c r="BD50" i="3"/>
  <c r="BE50" i="3"/>
  <c r="BH50" i="3"/>
  <c r="BC9" i="3"/>
  <c r="BE9" i="3"/>
  <c r="BH9" i="3"/>
  <c r="BC53" i="3"/>
  <c r="BD53" i="3"/>
  <c r="BE53" i="3"/>
  <c r="BC54" i="3"/>
  <c r="BD54" i="3"/>
  <c r="BE54" i="3"/>
  <c r="BC55" i="3"/>
  <c r="BG35" i="3" s="1"/>
  <c r="BD55" i="3"/>
  <c r="BE55" i="3"/>
  <c r="BC43" i="3"/>
  <c r="BG43" i="3" s="1"/>
  <c r="BD43" i="3"/>
  <c r="BE43" i="3"/>
  <c r="BH43" i="3"/>
  <c r="BC44" i="3"/>
  <c r="BD44" i="3"/>
  <c r="BE44" i="3"/>
  <c r="BH44" i="3"/>
  <c r="BG44" i="3" l="1"/>
  <c r="BG42" i="3"/>
  <c r="BG17" i="3"/>
  <c r="BG27" i="3"/>
  <c r="BG54" i="3"/>
  <c r="BG34" i="3"/>
  <c r="BG32" i="3"/>
  <c r="BG52" i="3"/>
  <c r="CL44" i="3"/>
  <c r="CL42" i="3"/>
  <c r="BG18" i="3"/>
  <c r="BG28" i="3"/>
  <c r="BG31" i="3"/>
  <c r="BG30" i="3"/>
  <c r="BG49" i="3"/>
  <c r="BG29" i="3"/>
  <c r="BG53" i="3"/>
  <c r="BG33" i="3"/>
  <c r="BG9" i="3"/>
  <c r="BG19" i="3"/>
  <c r="BG50" i="3"/>
  <c r="BG51" i="3"/>
  <c r="BG13" i="3"/>
  <c r="BG23" i="3"/>
  <c r="BG25" i="3"/>
  <c r="BG55" i="3"/>
  <c r="BG15" i="3"/>
  <c r="BG48" i="3"/>
  <c r="DF64" i="3"/>
  <c r="DG64" i="3"/>
  <c r="DF63" i="3"/>
  <c r="DG63" i="3"/>
  <c r="DF10" i="3"/>
  <c r="DG10" i="3"/>
  <c r="DF16" i="3"/>
  <c r="DG16" i="3"/>
  <c r="DF6" i="3"/>
  <c r="DG6" i="3"/>
  <c r="DF7" i="3"/>
  <c r="DG7" i="3"/>
  <c r="DF5" i="3"/>
  <c r="DG5" i="3"/>
  <c r="DF39" i="3"/>
  <c r="DG39" i="3"/>
  <c r="DF40" i="3"/>
  <c r="DG40" i="3"/>
  <c r="DF4" i="3"/>
  <c r="DG4" i="3"/>
  <c r="BH4" i="3" l="1"/>
  <c r="BE4" i="3"/>
  <c r="BD4" i="3"/>
  <c r="BC4" i="3"/>
  <c r="BG4" i="3" s="1"/>
  <c r="AL4" i="3" l="1"/>
  <c r="BH5" i="3"/>
  <c r="BH39" i="3"/>
  <c r="BH40" i="3"/>
  <c r="BD5" i="3"/>
  <c r="BE5" i="3"/>
  <c r="BD39" i="3"/>
  <c r="BE39" i="3"/>
  <c r="BC39" i="3"/>
  <c r="AL5" i="3"/>
  <c r="AL39" i="3"/>
  <c r="AL40" i="3"/>
  <c r="BG39" i="3" l="1"/>
  <c r="BC5" i="3"/>
  <c r="BG5" i="3" l="1"/>
  <c r="CI22" i="3" l="1"/>
  <c r="AL6" i="3" l="1"/>
  <c r="BC16" i="3"/>
  <c r="BC7" i="3"/>
  <c r="BG7" i="3" s="1"/>
  <c r="BD7" i="3"/>
  <c r="BE7" i="3"/>
  <c r="BG16" i="3" l="1"/>
  <c r="BG26" i="3"/>
  <c r="AN32" i="3"/>
  <c r="CI11" i="3"/>
  <c r="CD25" i="3" l="1"/>
  <c r="BC10" i="3"/>
  <c r="BD10" i="3"/>
  <c r="BE10" i="3"/>
  <c r="BD16" i="3"/>
  <c r="BE16" i="3"/>
  <c r="BG10" i="3" l="1"/>
  <c r="BG11" i="3"/>
  <c r="BG20" i="3"/>
  <c r="BG21" i="3"/>
  <c r="BH64" i="3"/>
  <c r="BE64" i="3"/>
  <c r="BD64" i="3"/>
  <c r="AL64" i="3"/>
  <c r="CI19" i="3" l="1"/>
  <c r="CJ10" i="3" l="1"/>
  <c r="CL10" i="3" l="1"/>
  <c r="CL21" i="3"/>
  <c r="CL11" i="3"/>
  <c r="CJ63" i="3"/>
  <c r="CL63" i="3" s="1"/>
  <c r="BH63" i="3"/>
  <c r="BF63" i="3"/>
  <c r="BE63" i="3"/>
  <c r="BD63" i="3"/>
  <c r="BC63" i="3"/>
  <c r="BG63" i="3" s="1"/>
  <c r="AL63" i="3"/>
  <c r="BH10" i="3" l="1"/>
  <c r="BH16" i="3"/>
  <c r="BH7" i="3"/>
  <c r="AL10" i="3"/>
  <c r="AL16" i="3"/>
  <c r="AL7" i="3"/>
  <c r="CK24" i="3" l="1"/>
  <c r="B63" i="8" l="1"/>
  <c r="B62" i="8"/>
  <c r="B60" i="8"/>
  <c r="B59" i="8"/>
  <c r="B58" i="8"/>
  <c r="B56" i="8"/>
  <c r="B55" i="8"/>
  <c r="B54" i="8"/>
  <c r="B52" i="8"/>
  <c r="B51" i="8"/>
  <c r="B50" i="8"/>
  <c r="B48" i="8"/>
  <c r="B47" i="8"/>
  <c r="B46" i="8"/>
  <c r="B44" i="8"/>
  <c r="B43" i="8"/>
  <c r="B42" i="8"/>
  <c r="B40" i="8"/>
  <c r="B39" i="8"/>
  <c r="B38" i="8"/>
  <c r="B36" i="8"/>
  <c r="B35" i="8"/>
  <c r="B34" i="8"/>
  <c r="B32" i="8"/>
  <c r="B31" i="8"/>
  <c r="B30" i="8"/>
  <c r="B28" i="8"/>
  <c r="B27" i="8"/>
  <c r="B26" i="8"/>
  <c r="B24" i="8"/>
  <c r="B23" i="8"/>
  <c r="B22" i="8"/>
  <c r="B20" i="8"/>
  <c r="B19" i="8"/>
  <c r="B18" i="8"/>
  <c r="B16" i="8"/>
  <c r="B15" i="8"/>
  <c r="B14" i="8"/>
  <c r="B12" i="8"/>
  <c r="B11" i="8"/>
  <c r="B10" i="8"/>
  <c r="B8" i="8"/>
  <c r="B7" i="8"/>
  <c r="B6" i="8"/>
  <c r="B4" i="8"/>
  <c r="B3" i="8"/>
  <c r="B2" i="8"/>
  <c r="B5" i="8"/>
  <c r="B9" i="8"/>
  <c r="B13" i="8"/>
  <c r="B17" i="8"/>
  <c r="B21" i="8"/>
  <c r="B25" i="8"/>
  <c r="B29" i="8"/>
  <c r="B33" i="8"/>
  <c r="B37" i="8"/>
  <c r="B41" i="8"/>
  <c r="B45" i="8"/>
  <c r="B49" i="8"/>
  <c r="B53" i="8"/>
  <c r="B57" i="8"/>
  <c r="B61" i="8"/>
  <c r="A2" i="8" l="1"/>
  <c r="A3" i="8" l="1"/>
  <c r="A4" i="8" l="1"/>
  <c r="A5" i="8" s="1"/>
  <c r="A6" i="8" l="1"/>
  <c r="A7" i="8" s="1"/>
  <c r="A8" i="8" s="1"/>
  <c r="A9" i="8" l="1"/>
  <c r="A10" i="8" s="1"/>
  <c r="A11" i="8" l="1"/>
  <c r="C14" i="8" s="1"/>
  <c r="A12" i="8" l="1"/>
  <c r="C37" i="8"/>
  <c r="C25" i="8"/>
  <c r="C49" i="8"/>
  <c r="C62" i="8"/>
  <c r="C31" i="8"/>
  <c r="C43" i="8"/>
  <c r="C55" i="8"/>
  <c r="C20" i="8"/>
  <c r="C26" i="8"/>
  <c r="C32" i="8"/>
  <c r="C38" i="8"/>
  <c r="C44" i="8"/>
  <c r="C50" i="8"/>
  <c r="C56" i="8"/>
  <c r="C30" i="8"/>
  <c r="C35" i="8"/>
  <c r="C52" i="8"/>
  <c r="C57" i="8"/>
  <c r="C58" i="8"/>
  <c r="C63" i="8"/>
  <c r="C5" i="8"/>
  <c r="C61" i="8"/>
  <c r="C11" i="8"/>
  <c r="C12" i="8"/>
  <c r="C17" i="8"/>
  <c r="C18" i="8"/>
  <c r="C23" i="8"/>
  <c r="C24" i="8"/>
  <c r="C29" i="8"/>
  <c r="C46" i="8"/>
  <c r="C19" i="8"/>
  <c r="C51" i="8"/>
  <c r="C36" i="8"/>
  <c r="C9" i="8"/>
  <c r="C41" i="8"/>
  <c r="C10" i="8"/>
  <c r="C42" i="8"/>
  <c r="C15" i="8"/>
  <c r="C47" i="8"/>
  <c r="C16" i="8"/>
  <c r="C48" i="8"/>
  <c r="C21" i="8"/>
  <c r="C53" i="8"/>
  <c r="C22" i="8"/>
  <c r="C54" i="8"/>
  <c r="C27" i="8"/>
  <c r="C59" i="8"/>
  <c r="C28" i="8"/>
  <c r="C60" i="8"/>
  <c r="C33" i="8"/>
  <c r="C6" i="8"/>
  <c r="C34" i="8"/>
  <c r="C7" i="8"/>
  <c r="C39" i="8"/>
  <c r="C8" i="8"/>
  <c r="C40" i="8"/>
  <c r="C13" i="8"/>
  <c r="C45" i="8"/>
  <c r="A13" i="8"/>
  <c r="A14" i="8" l="1"/>
  <c r="A15" i="8" l="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alcChain>
</file>

<file path=xl/sharedStrings.xml><?xml version="1.0" encoding="utf-8"?>
<sst xmlns="http://schemas.openxmlformats.org/spreadsheetml/2006/main" count="2008" uniqueCount="1109">
  <si>
    <t>Fixed Expenses</t>
  </si>
  <si>
    <t>Agreement Period</t>
  </si>
  <si>
    <t>WC&amp;FC of Amul at Other Locations</t>
  </si>
  <si>
    <t>Our WC&amp;FC Since When</t>
  </si>
  <si>
    <t xml:space="preserve">Other Companies Handled by WC&amp;FC </t>
  </si>
  <si>
    <t xml:space="preserve">Address of WC&amp;FC </t>
  </si>
  <si>
    <t xml:space="preserve">Contact No of WC&amp;FC </t>
  </si>
  <si>
    <t xml:space="preserve">Contact Person in WC&amp;FC </t>
  </si>
  <si>
    <t xml:space="preserve">Name of WC&amp;FC </t>
  </si>
  <si>
    <t xml:space="preserve">Make </t>
  </si>
  <si>
    <t>Installed In</t>
  </si>
  <si>
    <t>Cost of Cold Room (Rs Lacs .)</t>
  </si>
  <si>
    <t xml:space="preserve">Capacity in CFT </t>
  </si>
  <si>
    <t>Installed On</t>
  </si>
  <si>
    <t>Capacity - MT (Sq ft /18)</t>
  </si>
  <si>
    <t xml:space="preserve"> Capacity in Sq.ft. (Cft./9.5 ft.)</t>
  </si>
  <si>
    <t>Capacity in CFT</t>
  </si>
  <si>
    <t>Frozen Cold Room</t>
  </si>
  <si>
    <t>Wet Cold Room</t>
  </si>
  <si>
    <t>Icecream Handling Rate (Rs/Crate)</t>
  </si>
  <si>
    <t xml:space="preserve">Escalation Clause </t>
  </si>
  <si>
    <t xml:space="preserve">Next Renewal Due on </t>
  </si>
  <si>
    <t>Contact Number</t>
  </si>
  <si>
    <t>Name of Proprietor</t>
  </si>
  <si>
    <t xml:space="preserve">Address of Frozen  Cold  Room </t>
  </si>
  <si>
    <t xml:space="preserve">Name of Party </t>
  </si>
  <si>
    <t>Avg. Sales per month Wet Products (MT)</t>
  </si>
  <si>
    <t>Rent Rs./Sq.ft.</t>
  </si>
  <si>
    <t>Permanent Space Available for  Wet Product Storage (Sq.ft.)</t>
  </si>
  <si>
    <t xml:space="preserve">Permanent Space hired, Sq ft </t>
  </si>
  <si>
    <t xml:space="preserve">Address of Cold Room </t>
  </si>
  <si>
    <t>Avg. Sales per month Dry Products (MT)</t>
  </si>
  <si>
    <t>Branch</t>
  </si>
  <si>
    <t>Photos</t>
  </si>
  <si>
    <t>Walkthough Video</t>
  </si>
  <si>
    <t>Ludhiana</t>
  </si>
  <si>
    <t>Loading  /  Unloading Charges Rs / MTs</t>
  </si>
  <si>
    <t>Handling Charges  Rs / MTs</t>
  </si>
  <si>
    <t>Kundli</t>
  </si>
  <si>
    <t>South Delhi</t>
  </si>
  <si>
    <t>North Delhi</t>
  </si>
  <si>
    <t>Chandigarh</t>
  </si>
  <si>
    <t>Jammu</t>
  </si>
  <si>
    <t>Ghaziabad</t>
  </si>
  <si>
    <t>Ahmedabad</t>
  </si>
  <si>
    <t>Bengaluru</t>
  </si>
  <si>
    <t>Chennai</t>
  </si>
  <si>
    <t>Guwahati</t>
  </si>
  <si>
    <t>Kolkata</t>
  </si>
  <si>
    <t>Lucknow</t>
  </si>
  <si>
    <t>Indore</t>
  </si>
  <si>
    <t>Jaipur</t>
  </si>
  <si>
    <t>Raipur</t>
  </si>
  <si>
    <t>Anand</t>
  </si>
  <si>
    <t>Udaipur</t>
  </si>
  <si>
    <t>Jabalpur</t>
  </si>
  <si>
    <t>Rajkot</t>
  </si>
  <si>
    <t>Surat</t>
  </si>
  <si>
    <t>Jodhpur</t>
  </si>
  <si>
    <t>Gwalior</t>
  </si>
  <si>
    <t>Cochin</t>
  </si>
  <si>
    <t>Hubballi</t>
  </si>
  <si>
    <t>Kozhikode</t>
  </si>
  <si>
    <t>Mangaluru</t>
  </si>
  <si>
    <t>Mysuru</t>
  </si>
  <si>
    <t>Hyderabad</t>
  </si>
  <si>
    <t>Portblair</t>
  </si>
  <si>
    <t>Vizag</t>
  </si>
  <si>
    <t>Coimbatore</t>
  </si>
  <si>
    <t>Dehradun</t>
  </si>
  <si>
    <t>Srinagar</t>
  </si>
  <si>
    <t>Bathinda</t>
  </si>
  <si>
    <t>Shillong</t>
  </si>
  <si>
    <t>Imphal</t>
  </si>
  <si>
    <t>Agartala</t>
  </si>
  <si>
    <t>Silchar</t>
  </si>
  <si>
    <t>Jorhat</t>
  </si>
  <si>
    <t>Cuttack</t>
  </si>
  <si>
    <t>Durgapur</t>
  </si>
  <si>
    <t>Siliguri</t>
  </si>
  <si>
    <t>Sambalpur</t>
  </si>
  <si>
    <t>Howrah</t>
  </si>
  <si>
    <t>Kharagpur</t>
  </si>
  <si>
    <t>Brahmapur</t>
  </si>
  <si>
    <t>Kanpur</t>
  </si>
  <si>
    <t>Varanasi</t>
  </si>
  <si>
    <t>Agra</t>
  </si>
  <si>
    <t>Gorakhpur</t>
  </si>
  <si>
    <t>Patna</t>
  </si>
  <si>
    <t>Ranchi</t>
  </si>
  <si>
    <t>Bhagalpur</t>
  </si>
  <si>
    <t>South Mumbai</t>
  </si>
  <si>
    <t>Pune</t>
  </si>
  <si>
    <t>Goa</t>
  </si>
  <si>
    <t>Nagpur</t>
  </si>
  <si>
    <t>Thane</t>
  </si>
  <si>
    <t>Aurangabad</t>
  </si>
  <si>
    <t>West Mumbai</t>
  </si>
  <si>
    <t>Nashik</t>
  </si>
  <si>
    <t>WET Cold Room</t>
  </si>
  <si>
    <t>Dry Warehouse</t>
  </si>
  <si>
    <t>Avg. Sales per month Frozen Products  (LTRS)</t>
  </si>
  <si>
    <t>R. K. Dusari Gopal Singh</t>
  </si>
  <si>
    <t>Nr Trinity Public School, Mongshangei, Imphal, Manipur. 795001</t>
  </si>
  <si>
    <t>RCC</t>
  </si>
  <si>
    <t>Pioneer Enterprises</t>
  </si>
  <si>
    <t>Heinz, Abbot, pfizer,Deys and Health</t>
  </si>
  <si>
    <t>Sri Ashwini Chawcharia</t>
  </si>
  <si>
    <t>Bluestar</t>
  </si>
  <si>
    <t>CTA Logistics Ltd.</t>
  </si>
  <si>
    <t>Sh Pannalal Kochar</t>
  </si>
  <si>
    <t>A.T.Road, Bharalumukh, Guwahati - 781009</t>
  </si>
  <si>
    <t>None</t>
  </si>
  <si>
    <t>Mega Marketing</t>
  </si>
  <si>
    <t>Anjali Agencies</t>
  </si>
  <si>
    <t>Shree Ram Krishna Associates</t>
  </si>
  <si>
    <t>Lohia House, M G Road, Fancy Bazar, Guwahati - 781001</t>
  </si>
  <si>
    <t>Smt. Sunita Devi Lohia</t>
  </si>
  <si>
    <t>GCI</t>
  </si>
  <si>
    <t>M / s Khasi Ispat pvt Ltd, 9th Mile, Khanapara opp CRPF camp gate, Baridua, Ribhoi, Meghalaya</t>
  </si>
  <si>
    <t>Sh. Bimal Agarwal</t>
  </si>
  <si>
    <t>Sh. Amitabha Pal</t>
  </si>
  <si>
    <t>Ruchi Soya Industries Ltd., N Ranga Rao and Sons, Cadburies India Ltd., Jyothi Labs., Sunrise Spices Ltd.</t>
  </si>
  <si>
    <t>M / s Prime Cereals Private Limited</t>
  </si>
  <si>
    <t>Sh Rajib Shankar Dey</t>
  </si>
  <si>
    <t>Sh. P L Kocchar, Sh. K L Bothra</t>
  </si>
  <si>
    <t>A T Road, Bharalumukh, GUWAHATI 781009</t>
  </si>
  <si>
    <t>Pepsico and Tropicana</t>
  </si>
  <si>
    <t>Permanent Space hired, Sq ft W1</t>
  </si>
  <si>
    <t>Space Occupied by Own Cold Room, Sq ft W1</t>
  </si>
  <si>
    <t>Space Occupied by Own Office, Sq ft W1</t>
  </si>
  <si>
    <t>Space Occupied by WC&amp;FC Office, Sq ft W1</t>
  </si>
  <si>
    <t>Rent Rs./Sq.ft.W1</t>
  </si>
  <si>
    <t>Permanent Space hired, Sq ft  Total</t>
  </si>
  <si>
    <t>Space Occupied by Own Cold Room, Sq ft  Total</t>
  </si>
  <si>
    <t>Space Occupied by Own Office, Sq ft  Total</t>
  </si>
  <si>
    <t>Space Occupied by WC&amp;FC Office, Sq ft  Total</t>
  </si>
  <si>
    <t>Rent Rs./Sq.ft. Total</t>
  </si>
  <si>
    <t>Avg. Sales per month Dry Products (MT) Total</t>
  </si>
  <si>
    <t>Security Deposit (Rs) Total</t>
  </si>
  <si>
    <t>Agreement Period: W1</t>
  </si>
  <si>
    <t>Bimalendu Roy</t>
  </si>
  <si>
    <t>NA</t>
  </si>
  <si>
    <t>Sandeep Arora</t>
  </si>
  <si>
    <t>Name of Proprietor: W1</t>
  </si>
  <si>
    <t>Contact Number W1</t>
  </si>
  <si>
    <t>Name of Party: W1</t>
  </si>
  <si>
    <t>Address of Dry Warehouse: W1</t>
  </si>
  <si>
    <t>Roofing Material W1</t>
  </si>
  <si>
    <t>Height of Flooring ft. W1</t>
  </si>
  <si>
    <t>Height of Warehouse Roof W1</t>
  </si>
  <si>
    <t>No of Loading/Unloading Docks W1</t>
  </si>
  <si>
    <t>Next Renewal Due on: W1</t>
  </si>
  <si>
    <t>Escalation Clause W1</t>
  </si>
  <si>
    <t xml:space="preserve"> The Secretary, Jorhat District regulated  Market Committee</t>
  </si>
  <si>
    <t>M / s Tolaram Surinder Kumar Kundalia</t>
  </si>
  <si>
    <t xml:space="preserve">c/o Dhiraj Kr Kundalia, Hathigarh Charali, Kothohaboria gaon, Jorhat </t>
  </si>
  <si>
    <t>Sh. Dhiraj Kr Kundalia</t>
  </si>
  <si>
    <t>Iron Truss with Tin Sheet</t>
  </si>
  <si>
    <t>17 feet</t>
  </si>
  <si>
    <t>Khasi Ispat (Pvt) Ltd</t>
  </si>
  <si>
    <t>Sh. Amit Agarwal, Director</t>
  </si>
  <si>
    <t>Nestle India Ltd, apollo tyres</t>
  </si>
  <si>
    <t>K.M. Trade Links</t>
  </si>
  <si>
    <t>Sh J Devendran</t>
  </si>
  <si>
    <t>Security Deposit (lks) W1</t>
  </si>
  <si>
    <t>Sri Ganesh Warehouse</t>
  </si>
  <si>
    <t>M/s Snowman Logistics Ltd.</t>
  </si>
  <si>
    <t>Sh N Karthikeyan</t>
  </si>
  <si>
    <t>No Escalation</t>
  </si>
  <si>
    <t>Tin</t>
  </si>
  <si>
    <t>Permanent Space Available for Frozen Product Storage (Crates )</t>
  </si>
  <si>
    <t>Permanent Space hired, Crates</t>
  </si>
  <si>
    <t>Sh Muthu</t>
  </si>
  <si>
    <t>7, J.N. Link Road, Mahalakshmi Nagar, Korattur, Chennai. 600076</t>
  </si>
  <si>
    <t xml:space="preserve">Marico, Emami, SIL, Bajaj Elictricals, Hindustan Sanitary </t>
  </si>
  <si>
    <t>Jadwet Agencies</t>
  </si>
  <si>
    <t>Sh Zakir Jadwet</t>
  </si>
  <si>
    <t>HUL, Nestle, Pepsi, Eveready</t>
  </si>
  <si>
    <t>Central Warehousing Corporation</t>
  </si>
  <si>
    <t>M/s Nutan Rajumani Transport Pvt Ltd</t>
  </si>
  <si>
    <t>Kamlesh kavedia</t>
  </si>
  <si>
    <t>ITC, Asian Paints, AP Paper Ltd.</t>
  </si>
  <si>
    <t>M/s Amman Agency</t>
  </si>
  <si>
    <t>Sh B S Srinivasan</t>
  </si>
  <si>
    <t>Ricg Graviss Products (P) Ltd</t>
  </si>
  <si>
    <t>Sh S V Jagadesan</t>
  </si>
  <si>
    <t>Sh S. V Jagadesan</t>
  </si>
  <si>
    <t>S V Jagdeesan</t>
  </si>
  <si>
    <t>M/s Swamy and Sons Agencies</t>
  </si>
  <si>
    <t>Door No. 44-671, Road 7, Nacharam, Hyderabad. 500060</t>
  </si>
  <si>
    <t>M/s Cold Rush Logistics Pvt Ltd</t>
  </si>
  <si>
    <t>Karthik Ashok Shah</t>
  </si>
  <si>
    <t>Sh Arun swamy</t>
  </si>
  <si>
    <t>K-1/1, IDA Uppal, Ramantapur, Hyderabad</t>
  </si>
  <si>
    <t>Marico, Colgate pal, Godrej, Britannia, Cadbury.</t>
  </si>
  <si>
    <t>Opp. BHVP, Industrial Estate, Mindi Village,Vishakhapatnam</t>
  </si>
  <si>
    <t>Dilip Kwahish</t>
  </si>
  <si>
    <t>BT Road , Imphal. 795001</t>
  </si>
  <si>
    <t>M/s Keshav Enterprises</t>
  </si>
  <si>
    <t>Mrs Sevanthi Dinesh</t>
  </si>
  <si>
    <t>Parle (MFS, Biscuits and Products), Indo Nissin Foods (Top Ramen)</t>
  </si>
  <si>
    <t>Mrs Parvathamma</t>
  </si>
  <si>
    <t>Ms Parvathamma</t>
  </si>
  <si>
    <t>15000;15000</t>
  </si>
  <si>
    <t>Dinesh N, DGM</t>
  </si>
  <si>
    <t>66000+4178</t>
  </si>
  <si>
    <t>Sh K. M. Abdul Rehman</t>
  </si>
  <si>
    <t>Aluminium</t>
  </si>
  <si>
    <t>M/S Bhagvati Traders Pvt Ltd</t>
  </si>
  <si>
    <t>M/S Bhagwaty Traders</t>
  </si>
  <si>
    <t>Mr Raveendharan</t>
  </si>
  <si>
    <t>M/s Sri Bhagwathy Traders Pvt Ltd</t>
  </si>
  <si>
    <t>Sh Raveendrnath</t>
  </si>
  <si>
    <t>Pepsico, Asian Paints, Panasonic, Coalgate Palmolive, Indian Oil Corporation</t>
  </si>
  <si>
    <t>M/s Cotmac Pvt. Ltd.</t>
  </si>
  <si>
    <t>Sh R K Hipparagi</t>
  </si>
  <si>
    <t>Sayed Building, Lamington Road, Hubbali.</t>
  </si>
  <si>
    <t>Titan Company Ltd.</t>
  </si>
  <si>
    <t>M/S Classic Distributer</t>
  </si>
  <si>
    <t>M/S Prakash Flooring Designs</t>
  </si>
  <si>
    <t>Plot No 186, 187 &amp; 188, KIADB industrial area, rayapur,Dharwad</t>
  </si>
  <si>
    <t>Sh Prakash Akki</t>
  </si>
  <si>
    <t>Mr Gopalakrishnan</t>
  </si>
  <si>
    <t>Ms Kondeghadan ArifaKhalid Ahammed, Sh Eranhical Khalid Ahammed, Sh Eranhical Althaf Khalid Ahammed, Sh Eranhical Amjad Khalid Ahammed, Ms Pazheri Ayisha Nasrin, Ms Karuthenikunnath Shibi, Sh Kondheghadan Alavi Kutty, Sh Kondheghadan Haider Ali, Ms Path Thara Nadeeja</t>
  </si>
  <si>
    <t>M/s Sancheti Warehousing</t>
  </si>
  <si>
    <t>Sh Rajendra r Sancheti</t>
  </si>
  <si>
    <t>M/s Baphana Warehousing</t>
  </si>
  <si>
    <t>Arya Cold Storage &amp; Exports</t>
  </si>
  <si>
    <t>Ashwini Deshmukh, Charulata Borse, Kalpana Patil, Vidya Patil</t>
  </si>
  <si>
    <t>4167 on Avg</t>
  </si>
  <si>
    <t>Sh Sunil Kantilal Baphana</t>
  </si>
  <si>
    <t>1st floor, Riddhi park, Sharanpur road, Opp. Baphana Jwellers, Tilakwadi, Nashik</t>
  </si>
  <si>
    <t>Britannia, Fly jag logistics, Chep india,Goodluck Industries, Amway India</t>
  </si>
  <si>
    <t>M/s K P Transport Pvt Ltd</t>
  </si>
  <si>
    <t>M/S U S Logistics</t>
  </si>
  <si>
    <t>Sh Upendra Pathak</t>
  </si>
  <si>
    <t>Sh Anant kulkarni</t>
  </si>
  <si>
    <t>Excide Batteries Ltd</t>
  </si>
  <si>
    <t>Gunnebo Ind, Dabur India, Madura Coats, Polycab Wires, Kellogs india</t>
  </si>
  <si>
    <t>M/s National Dairy Development Board</t>
  </si>
  <si>
    <t>M/s Winter Logistics Pvt Ltd</t>
  </si>
  <si>
    <t>Sh Pradeep Kumar Dubey</t>
  </si>
  <si>
    <t>M/s Snowman Logistics Ltd</t>
  </si>
  <si>
    <t>Manager Operations</t>
  </si>
  <si>
    <t>M/s Valsad DCMPU, Nagpur</t>
  </si>
  <si>
    <t>Sh Shyam Laddha</t>
  </si>
  <si>
    <t>M/s Motilal Biz Services</t>
  </si>
  <si>
    <t>199, Hingna Wadi Road, Bansi nagar, Opp. Hot Mix Plant, Hingna Industrial Area, Hingna. Nagpur 440016</t>
  </si>
  <si>
    <t>Cement</t>
  </si>
  <si>
    <t>M/s Cold Rush Logistics</t>
  </si>
  <si>
    <t>AGARTALA</t>
  </si>
  <si>
    <t>GUWAHATI</t>
  </si>
  <si>
    <t>IMPHAL</t>
  </si>
  <si>
    <t>JORHAT</t>
  </si>
  <si>
    <t>SILCHAR</t>
  </si>
  <si>
    <t>SHILLONG</t>
  </si>
  <si>
    <t>CHENNAI</t>
  </si>
  <si>
    <t>PORT BLAIR</t>
  </si>
  <si>
    <t>VIZAG</t>
  </si>
  <si>
    <t>COIMBATORE</t>
  </si>
  <si>
    <t>HYDERABAD</t>
  </si>
  <si>
    <t>BANGALORE</t>
  </si>
  <si>
    <t>HUBBALI</t>
  </si>
  <si>
    <t>KOZHIKODE</t>
  </si>
  <si>
    <t>SOUTH MUMBAI</t>
  </si>
  <si>
    <t>WEST MUMBAI</t>
  </si>
  <si>
    <t>THANE</t>
  </si>
  <si>
    <t>GOA</t>
  </si>
  <si>
    <t>PUNE</t>
  </si>
  <si>
    <t>NAGPUR</t>
  </si>
  <si>
    <t>AURANGABAD</t>
  </si>
  <si>
    <t>NASHIK</t>
  </si>
  <si>
    <t>M/s Reality Warehousing Pvt. Ltd.</t>
  </si>
  <si>
    <t>Sh Sunil Agarwal</t>
  </si>
  <si>
    <t>M/s Varama Sir India Logistics and Infrastructure Pvt Ltd</t>
  </si>
  <si>
    <t>Precoated MS roofing Sheets</t>
  </si>
  <si>
    <t>Deepak Mathur</t>
  </si>
  <si>
    <t>M/s Truckers India</t>
  </si>
  <si>
    <t>Sh Ankush Gujral</t>
  </si>
  <si>
    <t>North - 10, Park Avenue, Maharani Bagh, New Delhi. 110065</t>
  </si>
  <si>
    <t>ITC, Britannia, Agro Foods, Vazir Sultan Tobacco</t>
  </si>
  <si>
    <t>M/s Srinivasa Agency</t>
  </si>
  <si>
    <t>Sh Mr Srinivas</t>
  </si>
  <si>
    <t>Nestle, Marico, Mondelez, Pepsico, Rasi Seed</t>
  </si>
  <si>
    <t>M/s C5 Cold Chain India (p) Ltd</t>
  </si>
  <si>
    <t>M/s Chamundi Electrical Stampings</t>
  </si>
  <si>
    <t>M/s Arihant Logistics</t>
  </si>
  <si>
    <t>Sh Kamlesh Surana</t>
  </si>
  <si>
    <t>Parle</t>
  </si>
  <si>
    <t>M/s Narwade &amp; Sons</t>
  </si>
  <si>
    <t>CGI</t>
  </si>
  <si>
    <t>Sh Bhanudas Mhatraji Narwade</t>
  </si>
  <si>
    <t>Gubba Cold Storage Pvt Ltd</t>
  </si>
  <si>
    <t>Sh Gubba Kiran</t>
  </si>
  <si>
    <t>Security Deposit (in lakh Rs)</t>
  </si>
  <si>
    <t>M/s N.E.Logistic Park Pvt. Ltd.</t>
  </si>
  <si>
    <t>Sh Nimish Agarwal</t>
  </si>
  <si>
    <t>Parle Agro</t>
  </si>
  <si>
    <t>M/s Aman Warehousing (p) Ltd</t>
  </si>
  <si>
    <t>PUF Insulated</t>
  </si>
  <si>
    <t>Uday Kumar Agarwal</t>
  </si>
  <si>
    <t>Security Deposit (in lk Rs)</t>
  </si>
  <si>
    <t>M/s Parnami Logistics</t>
  </si>
  <si>
    <t>Sh Mrinal Bhagat</t>
  </si>
  <si>
    <t>Parle Agro, Glaxo Smithkline, Jhonson and jhonson, Godrej</t>
  </si>
  <si>
    <t>M/s White India Enterprises</t>
  </si>
  <si>
    <t>Sh Dushyant singh, Sh Harender Kumar, Sh Rajeev Mohan and Jogender Singh</t>
  </si>
  <si>
    <t>Dujana Road, Bisnoli, NH91, Ghaziabad</t>
  </si>
  <si>
    <t>MYSURU</t>
  </si>
  <si>
    <t>AGRA</t>
  </si>
  <si>
    <t>KANPUR</t>
  </si>
  <si>
    <t>GHAZIABAD</t>
  </si>
  <si>
    <t>LUCKNOW</t>
  </si>
  <si>
    <t>M/s Kamal and Sons</t>
  </si>
  <si>
    <t>OP Pandey and SK Singh</t>
  </si>
  <si>
    <t>M/s Trident Cold Chain Solutions Pvt Ltd</t>
  </si>
  <si>
    <t>Sh Manav Verma and Ms Sunita Verma</t>
  </si>
  <si>
    <t>PATNA</t>
  </si>
  <si>
    <t>M/s Sarita Devi</t>
  </si>
  <si>
    <t>Behind JCB showroom, Simlimurarpur, Didarganj, Patna City:800008</t>
  </si>
  <si>
    <t>Iron Profile sheet</t>
  </si>
  <si>
    <t>M/s Jayanti Prakash Infratech</t>
  </si>
  <si>
    <t>JCB Road, New Bypass Road, Didarganj, Patna City.</t>
  </si>
  <si>
    <t>Pre Fabricated</t>
  </si>
  <si>
    <t>M/s Tista Cold Rooms</t>
  </si>
  <si>
    <t>Sh Prakash Roy</t>
  </si>
  <si>
    <t>RANCHI</t>
  </si>
  <si>
    <t>prefabricated</t>
  </si>
  <si>
    <t>Sh Lal Kishore nath shahdeo and Sh Lal Kishore nath shahdeo</t>
  </si>
  <si>
    <t>MANGALORE</t>
  </si>
  <si>
    <t>M/s Saanvi Enterprise</t>
  </si>
  <si>
    <t>Sh Santosh Kumar Shetty</t>
  </si>
  <si>
    <t>Sh Dinesh Kumar Gupta</t>
  </si>
  <si>
    <t>Prefabricated FRP</t>
  </si>
  <si>
    <t>Sh Anand Kumar Agarwal</t>
  </si>
  <si>
    <t>M/s Inset Commercial &amp; Trading Company Pvt Ltd</t>
  </si>
  <si>
    <t>Rent Rs./Cft</t>
  </si>
  <si>
    <t>Tata Chemicals, KRIBHCO, Narmada Boichem, Samsung Mobiles</t>
  </si>
  <si>
    <t>VARANASI</t>
  </si>
  <si>
    <t>-</t>
  </si>
  <si>
    <t>KOLKATA</t>
  </si>
  <si>
    <t>CUTTACK</t>
  </si>
  <si>
    <t>DURGAPUR</t>
  </si>
  <si>
    <t>SILIGURI</t>
  </si>
  <si>
    <t>SAMBALPUR</t>
  </si>
  <si>
    <t>HOWRAH</t>
  </si>
  <si>
    <t>KHARAGPUR</t>
  </si>
  <si>
    <t>BRAHMAPUR</t>
  </si>
  <si>
    <t>M/s Tulip Logistics Solution</t>
  </si>
  <si>
    <t>Sh Eshaq Malik</t>
  </si>
  <si>
    <t>M/s Poddar Projects Ltd</t>
  </si>
  <si>
    <t>1/1 Taratala Road, Kol - 88 Opp. Nature Park Beside Calcutta Doc Engineering</t>
  </si>
  <si>
    <t>Tin Shed</t>
  </si>
  <si>
    <t>Sh Arun Kumar Poddar</t>
  </si>
  <si>
    <t>M/s Bhandari Warehouse and Logistics</t>
  </si>
  <si>
    <t>M/s Crystal Logistics</t>
  </si>
  <si>
    <t>M/s Palsons Services pvt ltd</t>
  </si>
  <si>
    <t>Mr Siddhartha Paul</t>
  </si>
  <si>
    <t>Hhimalayan Drugs, Adani Wilmar, Pfizer</t>
  </si>
  <si>
    <t>M/s Palsons Services Pvt. Ltd</t>
  </si>
  <si>
    <t>M/s S B Overseas</t>
  </si>
  <si>
    <t>M/s Shyam Cold Storage</t>
  </si>
  <si>
    <t>Baraipali, Sambalpur 768006</t>
  </si>
  <si>
    <t>Sh Shyam Sundar Pansari</t>
  </si>
  <si>
    <t>M/s Jai Jagannath Enterprises Pvt Ltd</t>
  </si>
  <si>
    <t>SH-10, Sandasingha PO Sason. Dist Sambalpur</t>
  </si>
  <si>
    <t>Sheet Roofing</t>
  </si>
  <si>
    <t>Sh Purshottam Tulsyan</t>
  </si>
  <si>
    <t>M/s Hanuman Das Agarwal and Sons</t>
  </si>
  <si>
    <t>Sh Pratik Agarwal</t>
  </si>
  <si>
    <t>M/s J.S. Traders</t>
  </si>
  <si>
    <t>Ms  K Sangeata</t>
  </si>
  <si>
    <t>Sh Purna Chandra Sahu,Sh Surendra Kumar Sahu, Sh Sisir Kumar Sahu, Sh Prasanta</t>
  </si>
  <si>
    <t>M/s J S Traders</t>
  </si>
  <si>
    <t>Mr K Chakradhar</t>
  </si>
  <si>
    <t>Khaspa Street, Big bazaar, Brahmapur, Odisha 760006</t>
  </si>
  <si>
    <t>Adani Wilmore</t>
  </si>
  <si>
    <t>M/s Chhabi Agencies</t>
  </si>
  <si>
    <t>Sh Rajib Paul Chowdhury</t>
  </si>
  <si>
    <t>Berger Paints, Servo Lubricants</t>
  </si>
  <si>
    <t>M/s Krishna Warehousing Services</t>
  </si>
  <si>
    <t>Sh Amit Kumar Agarwal</t>
  </si>
  <si>
    <t>M/s B G Properties</t>
  </si>
  <si>
    <t>Sh Goutam Bhattacharya</t>
  </si>
  <si>
    <t>Sh Kamal Dutta</t>
  </si>
  <si>
    <t>M/s Narayani Globel</t>
  </si>
  <si>
    <t>Banskopa Durgapur</t>
  </si>
  <si>
    <t>M/s Vishal Trade &amp; Commerce</t>
  </si>
  <si>
    <t>Sh Rajesh Gupta</t>
  </si>
  <si>
    <t>C/o Desire Trade and Commerce, Baikunthaplly, Nr Forest Rnagers Office</t>
  </si>
  <si>
    <t>M/s Era Merchantile</t>
  </si>
  <si>
    <t>M/s Dezire Agents Pvt Ltd</t>
  </si>
  <si>
    <t>Sh BP Agarwal &amp; Smt M Agarwal</t>
  </si>
  <si>
    <t>Sh Bhibuti Prasad Agarwal</t>
  </si>
  <si>
    <t>Mr Sandeep Agarwal</t>
  </si>
  <si>
    <t>Sh Mukesh Agarwal</t>
  </si>
  <si>
    <t>M/s Coldrush Logistics Pvt Ltd.</t>
  </si>
  <si>
    <t>Sh Ranjit Singh Pankaj (HUF) Karta</t>
  </si>
  <si>
    <t>Plot No. 1554 M, Sachendi, Kanpur, Uttarpradesh.</t>
  </si>
  <si>
    <t>Profile Sheets</t>
  </si>
  <si>
    <t>R S Pankaj</t>
  </si>
  <si>
    <t>Kartik Shah</t>
  </si>
  <si>
    <t>M/s Coldrush Logistics Pvt Ltd</t>
  </si>
  <si>
    <t>M/s Arvind Distributers</t>
  </si>
  <si>
    <t>Sh Arvind Raj Maheshwari</t>
  </si>
  <si>
    <t>Loreal, HPL</t>
  </si>
  <si>
    <t>M/s Kamalsons</t>
  </si>
  <si>
    <t>Sh Naveen Chaddha</t>
  </si>
  <si>
    <t>GSK, Jhonson and Jhonson, Maricos, Kellog, Asian Paints</t>
  </si>
  <si>
    <t>GWALIOR</t>
  </si>
  <si>
    <t>M/s Neeraj Enterprise</t>
  </si>
  <si>
    <t>Opp. Gatta Factory, SADA Road, Motijheel, Gwalior</t>
  </si>
  <si>
    <t>Sh Neeraj Agarwal</t>
  </si>
  <si>
    <t>M/s NB Logistics</t>
  </si>
  <si>
    <t>Sh Yogesh Bansal</t>
  </si>
  <si>
    <t>Opp. Oliyai Hospital, Hospital Road, Gwalior</t>
  </si>
  <si>
    <t>Tata Chemicals, Pepsico, GCPL, Heinz India</t>
  </si>
  <si>
    <t>M/s Pukhraj Logistics</t>
  </si>
  <si>
    <t>Sh Sharad Kumar Jain</t>
  </si>
  <si>
    <t>JABALPUR</t>
  </si>
  <si>
    <t>Ms Ragini Jain</t>
  </si>
  <si>
    <t>Sh Sharad K Jain</t>
  </si>
  <si>
    <t>M/s Pukhraj Agencies</t>
  </si>
  <si>
    <t>Sh Kamlesh Kavadia</t>
  </si>
  <si>
    <t>ITC</t>
  </si>
  <si>
    <t>JODHPUR</t>
  </si>
  <si>
    <t>M/s Shah Padamchand Mutha</t>
  </si>
  <si>
    <t>Sh  Shah Padamchand Mutha</t>
  </si>
  <si>
    <t>M/s Nutan Rajumani Transport Ltd</t>
  </si>
  <si>
    <t>Carrier</t>
  </si>
  <si>
    <t>M/s DGS Translogistics India Pvt Ltd</t>
  </si>
  <si>
    <t>Sh Sourabh Khandelwal</t>
  </si>
  <si>
    <t>Pidilite, Rasna, Berger, CEAT, Supreme Furniture.</t>
  </si>
  <si>
    <t>M/s Om Industries</t>
  </si>
  <si>
    <t>Sh Haridwarilal</t>
  </si>
  <si>
    <t>M/s Bhagwati Udyog Cold Storage &amp; Ice factory</t>
  </si>
  <si>
    <t>Sh Vinod Goya</t>
  </si>
  <si>
    <t>Sh Surendra Lohia, Sh Sachin lohia, Sh Nitin Lohia</t>
  </si>
  <si>
    <t>Modernised Tin</t>
  </si>
  <si>
    <t>Sh Surendra Lohia, Sh Sachin Lohia, Sh Nitin Lohia</t>
  </si>
  <si>
    <t>Sh Ramkishan Motilal Ojha</t>
  </si>
  <si>
    <t>Sh Ramakant Daga</t>
  </si>
  <si>
    <t>Ms Kiran Devi Daga</t>
  </si>
  <si>
    <t>M/s Continental Transport Associates</t>
  </si>
  <si>
    <t>Sh Anil Kumar Parmar</t>
  </si>
  <si>
    <t>Ms Asha Devi</t>
  </si>
  <si>
    <t>Sh Anilkumar Parmar</t>
  </si>
  <si>
    <t>Ms Asha Devi Daga</t>
  </si>
  <si>
    <t>M/s Ram Ratna Daga</t>
  </si>
  <si>
    <t>Tata Global Bev, Tata Chemical, SK Industries</t>
  </si>
  <si>
    <t>M/s Shreenathji Enterprise</t>
  </si>
  <si>
    <t>Sh Krunal Giletwala</t>
  </si>
  <si>
    <t>Parle, Tata Chemicals</t>
  </si>
  <si>
    <t>M/s Tapi Warehousing</t>
  </si>
  <si>
    <t>Sh RB Desai</t>
  </si>
  <si>
    <t>Imported Galluvial</t>
  </si>
  <si>
    <t>M/s Hi Tech Frozen Facilities Pvt Ltd</t>
  </si>
  <si>
    <t>Sh Mitesh Jain</t>
  </si>
  <si>
    <t>M/s Swastik Marketing</t>
  </si>
  <si>
    <t>Sh Tejas Parekh</t>
  </si>
  <si>
    <t>Smt Maria Bharmal, Sh Suresh Mundhwa</t>
  </si>
  <si>
    <t>Ms Mariaben  Muslimbhai Bharmal</t>
  </si>
  <si>
    <t>M/s BB Corporation</t>
  </si>
  <si>
    <t>Sh Vijaybhai Pandhi</t>
  </si>
  <si>
    <t>JAIPUR</t>
  </si>
  <si>
    <t>RAIPUR</t>
  </si>
  <si>
    <t>SURAT</t>
  </si>
  <si>
    <t>RAJKOT</t>
  </si>
  <si>
    <t>GORAKHPUR</t>
  </si>
  <si>
    <t>BHAGALPUR</t>
  </si>
  <si>
    <t>M/s UDJ Logistics Enterprise</t>
  </si>
  <si>
    <t>Sh Pradeep Jalan</t>
  </si>
  <si>
    <t>M/s Shree Bhagwati Hosiery Mills Pvt Ltd.</t>
  </si>
  <si>
    <t>VDF</t>
  </si>
  <si>
    <t>Sh Prabhat Kejriwal</t>
  </si>
  <si>
    <t>M/s Shree Krishna Tyres Pvt Ltd</t>
  </si>
  <si>
    <t>PFB</t>
  </si>
  <si>
    <t>Sh Ramanuj Jaiswal, Sh Purshottam jaiswal</t>
  </si>
  <si>
    <t>M/s Ram lal Parmeshwar Prasad &amp; Co</t>
  </si>
  <si>
    <t>Sh Manish Chaurasia</t>
  </si>
  <si>
    <t>Dabur, Nestle</t>
  </si>
  <si>
    <t>AHMEDABAD</t>
  </si>
  <si>
    <t>ANAND</t>
  </si>
  <si>
    <t>INDORE</t>
  </si>
  <si>
    <t>UDAIPUR</t>
  </si>
  <si>
    <t>M/s Narayan Enterprise</t>
  </si>
  <si>
    <t>M/s Tulip Logistics Solutions</t>
  </si>
  <si>
    <t>Sh Kaushal H Gilletwala</t>
  </si>
  <si>
    <t>Sh Burhanuddin Taher malik,Sh Eshaq Malik,Sh Mustafa Malik</t>
  </si>
  <si>
    <t>Parle, Tata Tea, Gaberial India, ABC Bearings, L&amp;T</t>
  </si>
  <si>
    <t>M/s Gujarat Trading Co.</t>
  </si>
  <si>
    <t>Sh Kamlesh Kavedia</t>
  </si>
  <si>
    <t>ITC, Asian Paints</t>
  </si>
  <si>
    <t>Sh N K Swamy</t>
  </si>
  <si>
    <t>Godrej, P&amp;G, Marico, britannia, Cabury</t>
  </si>
  <si>
    <t>M/s AlpanaAgro Cold Storage</t>
  </si>
  <si>
    <t>Mrs Sunita Sharma</t>
  </si>
  <si>
    <t>M/s Arcogul</t>
  </si>
  <si>
    <t>Anand Regional Cooperative Oilseed Growers Union Ltd, Nr Chikodara Chowkdi, NH8, Anand</t>
  </si>
  <si>
    <t>Sh Pravin Bhai</t>
  </si>
  <si>
    <t>Carrier(15000),bluestar(10000)</t>
  </si>
  <si>
    <t>M/s Sachin Cold Storage</t>
  </si>
  <si>
    <t>Sh Sachin Devjibhai Khaniya</t>
  </si>
  <si>
    <t>M/s Padmavati Cold Storage</t>
  </si>
  <si>
    <t>Sh Jagdish patel, Sh Nilesh Patel</t>
  </si>
  <si>
    <t>Kirby Structure</t>
  </si>
  <si>
    <t>Sh Kartik Shah</t>
  </si>
  <si>
    <t>Sh Gaurav Mehta</t>
  </si>
  <si>
    <t>Sh Harish Trivedi</t>
  </si>
  <si>
    <t>M/s SSK Food &amp; Logistics</t>
  </si>
  <si>
    <t>Sh Arun Shrimali</t>
  </si>
  <si>
    <t>NORTH DELHI</t>
  </si>
  <si>
    <t>KUNDLI</t>
  </si>
  <si>
    <t>JAMMU</t>
  </si>
  <si>
    <t>CHANDIGARH</t>
  </si>
  <si>
    <t>LUDHIANA</t>
  </si>
  <si>
    <t>DEHRADUN</t>
  </si>
  <si>
    <t>SRINAGAR</t>
  </si>
  <si>
    <t>BHATINDA</t>
  </si>
  <si>
    <t>SOUTH DELHI</t>
  </si>
  <si>
    <t>M/s Chirag Bansal &amp; Co</t>
  </si>
  <si>
    <t>Sh Aman Kumar</t>
  </si>
  <si>
    <t>Bhatian Road, Nr Metro Cash and Carry, Jalandhar Octroi, Ludhiana</t>
  </si>
  <si>
    <t>Sh Girdharilal Tawar</t>
  </si>
  <si>
    <t>M/s Kansal Estate Pvt Ltd</t>
  </si>
  <si>
    <t>Sh Aditya Aggarwal</t>
  </si>
  <si>
    <t>M/s Attar logistics Pvt Ltd</t>
  </si>
  <si>
    <t>Plot no. 54, 1st floor, Yard No. 6, Transport nagar, Narwal,Jammu. 180006</t>
  </si>
  <si>
    <t>M/s Sahil Enterprises</t>
  </si>
  <si>
    <t>Prefabricated</t>
  </si>
  <si>
    <t>Sh Sh Sahil Gupta</t>
  </si>
  <si>
    <t>Sh Mandeep Singh</t>
  </si>
  <si>
    <t>M/s Hari Pharmaceuticals</t>
  </si>
  <si>
    <t>Sh Ramesh Garg</t>
  </si>
  <si>
    <t>M/s Max International</t>
  </si>
  <si>
    <t>C/o HP Jagjit Fuel Centre, Master Colony, Jalandar, By pass Ludhiana</t>
  </si>
  <si>
    <t>Sh Jagjit Singh</t>
  </si>
  <si>
    <t>M/s Jagjeet Frozen Foods</t>
  </si>
  <si>
    <t>Sh Baljinder Singh</t>
  </si>
  <si>
    <t>M/s Praveen Kumar Sarika Tushar</t>
  </si>
  <si>
    <t>Amir Ganj, Mahmudbad, Sitapur</t>
  </si>
  <si>
    <t>M/s Arihant Associates</t>
  </si>
  <si>
    <t>Gorakhpur shimla bypass, Dehradun</t>
  </si>
  <si>
    <t>Sh Piyush jain</t>
  </si>
  <si>
    <t>Sh Vinod Mittal</t>
  </si>
  <si>
    <t>HCL Compound, Niranjanpur, Saharanpur Road, Dehradun</t>
  </si>
  <si>
    <t>M/s GFT Enterprise</t>
  </si>
  <si>
    <t>Bhat Storage Complex, Choglamsar Village Road, Leh Ladakh 194104</t>
  </si>
  <si>
    <t>Sh Wasim Ahmad Bhat</t>
  </si>
  <si>
    <t>Pepsico, ITC, Castrol</t>
  </si>
  <si>
    <t>M/s Khukhrain Cold Storage</t>
  </si>
  <si>
    <t>Sh Rishi Sahni</t>
  </si>
  <si>
    <t>M/s Chhunna Mal Ram Nath Pvt Ltd</t>
  </si>
  <si>
    <t>Sh Sanjiv Gupta</t>
  </si>
  <si>
    <t>M/s Prakash Kandoi</t>
  </si>
  <si>
    <t>Sh Prakash Kandoi</t>
  </si>
  <si>
    <t>Sh M/s KHI Cold Storage Pvt Ltd</t>
  </si>
  <si>
    <t>Lakhmi Pia, Janti Road, Sonepat Harayana</t>
  </si>
  <si>
    <t>Sh Himanshu Garg</t>
  </si>
  <si>
    <t>M/s Workship Global</t>
  </si>
  <si>
    <t>Sh Praveen Agarwal</t>
  </si>
  <si>
    <t>Sh Deepak Satija</t>
  </si>
  <si>
    <t>Berger Paints, Godfrey, IPM India Wholesale, Raymond</t>
  </si>
  <si>
    <t>Sh Sudhir Suri, Sh Hitin Suri</t>
  </si>
  <si>
    <t>Ms Sunita Devi lohia</t>
  </si>
  <si>
    <t>M/s GLT Associates</t>
  </si>
  <si>
    <t>M/s KLT Associates</t>
  </si>
  <si>
    <t>Sh Krishan Lal</t>
  </si>
  <si>
    <t>Sh Trilok Chand Agrawal</t>
  </si>
  <si>
    <t>Sh P Srinivas Chowdary and Smt. P Sri Lakshmi</t>
  </si>
  <si>
    <t>Sh G.V. Pratap Reddy</t>
  </si>
  <si>
    <t>M/s GVPR Minerals Pvt Ltd</t>
  </si>
  <si>
    <t>M/s Snowman Frozen Foods</t>
  </si>
  <si>
    <t>Autonagar, gajuwaka, Vizag</t>
  </si>
  <si>
    <t>Sh Prem Kishan Gupta</t>
  </si>
  <si>
    <t>Sh Siddhart Bhandari</t>
  </si>
  <si>
    <t>Nr Mahanand Dairy, W.E. Highway, Goregaon (East), Mumbai- 400065</t>
  </si>
  <si>
    <t>M/s Guru Nanak Transport Co.</t>
  </si>
  <si>
    <t>Sh Jaspreet Singh</t>
  </si>
  <si>
    <t>NH7, Bhatinda Barnal Road, Opp. Adesh Medical College, Bhatinda (Pb.)- 151001</t>
  </si>
  <si>
    <t>ATUL Pesticides, Viduval Pesticides</t>
  </si>
  <si>
    <t>M/s Shri Ram Logistics Services</t>
  </si>
  <si>
    <t>Dilip Poddar</t>
  </si>
  <si>
    <t>Britannia, Godrej, Berger, Perfetti, Rasna</t>
  </si>
  <si>
    <t>M/s M.R. Enterprises</t>
  </si>
  <si>
    <t>Sh Alok Kumar Shoundik</t>
  </si>
  <si>
    <t>Karmali Chowk, Mahuli Road, Nr Kriti Petrol pump Patna City, Bihar. 800007</t>
  </si>
  <si>
    <t>Parle, Killer, Shondog.</t>
  </si>
  <si>
    <t>M/s Snehal Logysys Pvt. Ltd</t>
  </si>
  <si>
    <t>Patalganga Minerals Pvt Ltd.</t>
  </si>
  <si>
    <t>Shree Ganpati Exim</t>
  </si>
  <si>
    <t>Sh Ajay Agarwal</t>
  </si>
  <si>
    <t>Adani Wilmar, Dabur, Medimix, Dish TV, Symphony Cooler</t>
  </si>
  <si>
    <t>Sh Ramkishan Ojha</t>
  </si>
  <si>
    <t>199, Hinga Wadi Road, Opp. Hot Mix plant, MIDC Industrial Area, Hinga, Nagpur 440016</t>
  </si>
  <si>
    <t>Survey No. 517, Opp Minilec, Urawade Road, Amboli, Kasar Amboli, Mulshi, Pune. 411004</t>
  </si>
  <si>
    <t>Sh Binay Kumar</t>
  </si>
  <si>
    <t>Sh Biren Kalita</t>
  </si>
  <si>
    <t>Tarun Borah</t>
  </si>
  <si>
    <t>Sh Dattatray Gawade</t>
  </si>
  <si>
    <t>Hindware, Delex, Mahesh</t>
  </si>
  <si>
    <t>M/s Newaskar Logistics Pvt Ltd.</t>
  </si>
  <si>
    <t>Sh Mangesh Sawant</t>
  </si>
  <si>
    <t>Pepsico, Godrej, LG, Kent, Daikin</t>
  </si>
  <si>
    <t>Sh Trilok Chand Agarwal</t>
  </si>
  <si>
    <t>Adani Wilmar, Dabur</t>
  </si>
  <si>
    <t>Sh Santosh Shetty</t>
  </si>
  <si>
    <t>Parle, Redbull, Maiyaas, Emami</t>
  </si>
  <si>
    <t>BAREILLY</t>
  </si>
  <si>
    <t>M/s Palsons Services Pvt Ltd</t>
  </si>
  <si>
    <t>Sh Siddhartha Paul</t>
  </si>
  <si>
    <t>Sh S S Arshamon</t>
  </si>
  <si>
    <t>Asbestos</t>
  </si>
  <si>
    <t>Sh H N Nagaraj</t>
  </si>
  <si>
    <t>#76 S, Hootgalli Industrial Area(KIADB), Mysuru 570018</t>
  </si>
  <si>
    <t>Sh Dharmendra S</t>
  </si>
  <si>
    <t>Sh Ram Kishan Ojha</t>
  </si>
  <si>
    <t>Sh N K Swami</t>
  </si>
  <si>
    <t>Sh R D Kini</t>
  </si>
  <si>
    <t>Plot No. 6A, Baikam Pady Industrial Area, New Managalore, Dakshin Kannada District, KARNATAKA</t>
  </si>
  <si>
    <t>Managing Director</t>
  </si>
  <si>
    <t>Haldiram, Ruchi Oils</t>
  </si>
  <si>
    <t>Ms. Manjudevi Chawcharia</t>
  </si>
  <si>
    <t>Sh Manmohan Kumar Poddar</t>
  </si>
  <si>
    <t>Sh Sarita Devi</t>
  </si>
  <si>
    <t>M/s Shri LalKishore nath Shehdeo &amp; Sh Lal Ashok nath sehdeo</t>
  </si>
  <si>
    <t>M/s Shri Ram Logistics</t>
  </si>
  <si>
    <t>M/s Sai Trading Company</t>
  </si>
  <si>
    <t>A8/A9 Sudha Ras Food Park, Dhulagarh, Howrah</t>
  </si>
  <si>
    <t>Sh Akash Agarwal (CEO)</t>
  </si>
  <si>
    <t>M/s The Bhat &amp; Co.</t>
  </si>
  <si>
    <t>Nr Railway Bridge, Wanabal Nowgam bypass Srinagar. 190015</t>
  </si>
  <si>
    <t>Sh Aijaz Ahmad Bhat</t>
  </si>
  <si>
    <t>Pune Nashik Highway, Behind Mercedes Benz Factory, Nigoji Road, Kurli Village, Chakan, 410501</t>
  </si>
  <si>
    <t>M/s Malwa Fresh Foods</t>
  </si>
  <si>
    <t>Sh Amit garg</t>
  </si>
  <si>
    <t>M/s Suri Agro Fresh Pvt Ltd</t>
  </si>
  <si>
    <t>M/s Canara Cold Storage</t>
  </si>
  <si>
    <t>M/s Global Entrade</t>
  </si>
  <si>
    <t>M/s Siddhi Enterprise</t>
  </si>
  <si>
    <t>C- 5, Lawrence Road, Lawrence Road,</t>
  </si>
  <si>
    <t>Sh Mukesh Aggarwal</t>
  </si>
  <si>
    <t>Sh Anil Kumar Mittal</t>
  </si>
  <si>
    <t xml:space="preserve">Vill. Pamohi, Mouza Ramcharani, Near holy home school, guwahati </t>
  </si>
  <si>
    <t>Steel Sheets</t>
  </si>
  <si>
    <t>SH Anil Kumar, Sh Hanuman Prasad Garg</t>
  </si>
  <si>
    <t>Mr Raeez Ali</t>
  </si>
  <si>
    <t>Mr Pradip Nivruti Gosavi, Mrs Rakhi Pradip Gosavi, Mrs Milan Haresh Shah, Mrs Ashmita Rajesh Shah</t>
  </si>
  <si>
    <t>PEB</t>
  </si>
  <si>
    <t>Sh Anand Gupta</t>
  </si>
  <si>
    <t>MEHSANA</t>
  </si>
  <si>
    <t>BHOPAL</t>
  </si>
  <si>
    <t>BHUBANESWAR</t>
  </si>
  <si>
    <t>M/s Poddar and Co.</t>
  </si>
  <si>
    <t>Nr. P J College, Kesura, Bhubaneswar, Odisha</t>
  </si>
  <si>
    <t>Sh Saransh Pansari,Sh Saket Pansari, Sh Shyam Pansari</t>
  </si>
  <si>
    <t>Sh Patel Satishbhai Sakalchand</t>
  </si>
  <si>
    <t>Metal High Roof</t>
  </si>
  <si>
    <t>18.01.1901</t>
  </si>
  <si>
    <t>M/s Areon Beverages &amp; Synthetics Pvt Ltd</t>
  </si>
  <si>
    <t>Sh Gursharan Arora</t>
  </si>
  <si>
    <t>M/s Umang Raj Tradelinks</t>
  </si>
  <si>
    <t>Sh Raj Kishore Agarwal</t>
  </si>
  <si>
    <t>Adani wilmar, Bunge, Nirma, Anik, Dabur, Humdard</t>
  </si>
  <si>
    <t>Manpower</t>
  </si>
  <si>
    <t>M/s Tirupati Balaji Warehouse</t>
  </si>
  <si>
    <t>Sh Jitendra Meena</t>
  </si>
  <si>
    <t>Kirby Structure with ridge</t>
  </si>
  <si>
    <t>M/s FM Logistics</t>
  </si>
  <si>
    <t>Sh Hashim Malik</t>
  </si>
  <si>
    <t>M/s Samridhi Industries</t>
  </si>
  <si>
    <t>Snt Sadhana Gupta</t>
  </si>
  <si>
    <t>Sh R L Saigal</t>
  </si>
  <si>
    <t>M/s Banaskantha DCMPU</t>
  </si>
  <si>
    <t>Metro Sheet Steel</t>
  </si>
  <si>
    <t>Rent Rs./Sq.ft. W1</t>
  </si>
  <si>
    <t>1.4.1019</t>
  </si>
  <si>
    <t>15.07.1019 to 14.7.1011</t>
  </si>
  <si>
    <t>1.7.1018 to 14.1.1018</t>
  </si>
  <si>
    <t>15.1.1018</t>
  </si>
  <si>
    <t>1.1.1019</t>
  </si>
  <si>
    <t>Plot M 08, MIDC, Taloja, Navi Mumbai 410106</t>
  </si>
  <si>
    <t>Sea Queen Avenue, Off. No. 708, plot 61, Sector 14, Kopar, Khairane, Navi Mumbai. 400705</t>
  </si>
  <si>
    <t>1.8.1011</t>
  </si>
  <si>
    <t>746/1, wagholi, Pune nagar road, Pune 411107</t>
  </si>
  <si>
    <t>1.4.1010</t>
  </si>
  <si>
    <t>1.9.1011</t>
  </si>
  <si>
    <t>1.7.1015</t>
  </si>
  <si>
    <t>1.1.1010</t>
  </si>
  <si>
    <t>10, Maharani Road, Indore</t>
  </si>
  <si>
    <t>1/165, Thiruvallur road,pammathukulam, gandhi nagar, redhills, chennai.600051</t>
  </si>
  <si>
    <t>1.4.18</t>
  </si>
  <si>
    <t>199/19, 100/1 No. 54 Mevalurkuppam,Valarpuram PO, Thandalam, Kancheepuram Dist. 601105</t>
  </si>
  <si>
    <t>1.7.1017 to 19.1.10110</t>
  </si>
  <si>
    <t>1.10.1010</t>
  </si>
  <si>
    <t>1.1.1011</t>
  </si>
  <si>
    <t>4/500, P V Sreedharan Road, Kumbalam PO,Cochin. 681506</t>
  </si>
  <si>
    <t>1.6.1011</t>
  </si>
  <si>
    <t>1.4.1016</t>
  </si>
  <si>
    <t>15.6.1011</t>
  </si>
  <si>
    <t>15.6.1019 to 14.6.1018</t>
  </si>
  <si>
    <t>15.6.1018</t>
  </si>
  <si>
    <t>8.5.1019 to 7.6.1018</t>
  </si>
  <si>
    <t>8.6.1018</t>
  </si>
  <si>
    <t>1.4.1017</t>
  </si>
  <si>
    <t>16.1.1011</t>
  </si>
  <si>
    <t>417 A, Sitra, Kalapatty Road, Coimbatore. 641014</t>
  </si>
  <si>
    <t>1.11.1011</t>
  </si>
  <si>
    <t>1.4.1018</t>
  </si>
  <si>
    <t>1.7.1016</t>
  </si>
  <si>
    <t>1.10.1019</t>
  </si>
  <si>
    <t>1.4.1011</t>
  </si>
  <si>
    <t>F-41(A), D Block Auto nagar, Gajuwaka,Visakhapatnam</t>
  </si>
  <si>
    <t>15.11.1019 to 14.11.1011</t>
  </si>
  <si>
    <t>15.11.1011</t>
  </si>
  <si>
    <t>16.8.1015 to 15.8.1014</t>
  </si>
  <si>
    <t>16.8.1014</t>
  </si>
  <si>
    <t>16/77 (E), Civil Lines, Kanpur 108011</t>
  </si>
  <si>
    <t>1.10.1011</t>
  </si>
  <si>
    <t>01.09.1011</t>
  </si>
  <si>
    <t>15.1.1019 to 14.1.1011</t>
  </si>
  <si>
    <t>1ND FLOOR,1C,D. NEOG PATH,GAURAV BHAWAN,ANANDA NAGAR, Near Dona Planet Mall, GS Road,Guwahati-781005</t>
  </si>
  <si>
    <t>1.11.11</t>
  </si>
  <si>
    <t>1.11.1015</t>
  </si>
  <si>
    <t>S.No.86/1, Cheemasandra Village, Bidarahalli, Hobli Bangaluru 560049</t>
  </si>
  <si>
    <t>1008; 1018</t>
  </si>
  <si>
    <t>1.1.1018</t>
  </si>
  <si>
    <t>U15, MIDC, Nagpur</t>
  </si>
  <si>
    <t>Gut No 117, Ambe Hill, A/P Jhulke. 411106</t>
  </si>
  <si>
    <t>1.5.1014</t>
  </si>
  <si>
    <t>1.05.1011</t>
  </si>
  <si>
    <t>1.1.1016</t>
  </si>
  <si>
    <t>1.1.1015</t>
  </si>
  <si>
    <t>Hebbal Industrial Area,NH175, Mysuru</t>
  </si>
  <si>
    <t>No. 118/05 &amp; 118/06, JLB Road, Behind HC, Chamundipuram, Mysuru 570015</t>
  </si>
  <si>
    <t>D No. 107, Divyashree Appts. Bejai Kapikad Road, Bejai mangalore</t>
  </si>
  <si>
    <t>1.5.1017</t>
  </si>
  <si>
    <t>D. No. 107, Divyashree Apt.s, Bejai Kapikad Road, Mangalore.</t>
  </si>
  <si>
    <t>(011) 16856675/16856678</t>
  </si>
  <si>
    <t>AITCPL, Plot M41/41, MIDC, Taloja, Navi Mumbai 410108</t>
  </si>
  <si>
    <t>K P House, Plot No- BG/SEI/5/1/1A, Nr PMLP Depot, Nehrunagar, MIDC Bhosari Pune 411016</t>
  </si>
  <si>
    <t>1.1.1014</t>
  </si>
  <si>
    <t>C-16, Phase II, Transport Nagar, Kanpur Road, Lucknow 116011</t>
  </si>
  <si>
    <t>Plot 17, Shanti Nagar, Sarojini Nagar, Kanpur Road, Lucknow 116008</t>
  </si>
  <si>
    <t>48A Hazratganj, Lucknow 116001</t>
  </si>
  <si>
    <t>1.9.1014</t>
  </si>
  <si>
    <t>Behind JCB showroom, Simlimurarpur, Didarganj, Patna 800010</t>
  </si>
  <si>
    <t>1.6.1018</t>
  </si>
  <si>
    <t>1.7.1011</t>
  </si>
  <si>
    <t>1.10.1014</t>
  </si>
  <si>
    <t>0191-1570618</t>
  </si>
  <si>
    <t>Continental Frozen Foods, Transport Nagar, Rawabhata, Plot no. W1A9, Block 16,Raipur (C.G.)</t>
  </si>
  <si>
    <t>Continental Frozen Foods, Transport Nagar, Rawabhata, Plot no. W1A8, Block 16,Raipur (C.G.)</t>
  </si>
  <si>
    <t>10.11.1011 to 19.11.1010</t>
  </si>
  <si>
    <t>10.11.1010</t>
  </si>
  <si>
    <t>10.8.1017 to 19.8.1016</t>
  </si>
  <si>
    <t>10.8.1016</t>
  </si>
  <si>
    <t>W-10, Parking No. 9, Transport Nagar, Rawabhata, Raipur</t>
  </si>
  <si>
    <t>Nr Shri Hanuman Mandir, Opp. City health centre, Above Bank of baroda, Gudhiyari, Raipur. 491001</t>
  </si>
  <si>
    <t>Central jail Road, Bhagalpur, bihar. 811001</t>
  </si>
  <si>
    <t>1.5.1018</t>
  </si>
  <si>
    <t>Kabri tola lane, patal babu road Bhagalpur. 811001</t>
  </si>
  <si>
    <t>1008, 1015</t>
  </si>
  <si>
    <t>Block No 1119 A &amp; B, Nr Basmental Chemical Factory, Lamdapura, Manjusar, Vadodara</t>
  </si>
  <si>
    <t>Plot no. 5 &amp; 6, Opp. Roshanji ki Bari, St Terresa School Road, Sec 11, Udaipur</t>
  </si>
  <si>
    <t>Plot No 16, Bhilon ka bedla, Near Amberi Industrial Area, Amberi, Udaipur</t>
  </si>
  <si>
    <t>1.5.1011</t>
  </si>
  <si>
    <t>1.8.1016</t>
  </si>
  <si>
    <t>1.11.1010</t>
  </si>
  <si>
    <t>Plot No 41/18 &amp; 41/16 Kheda Garhi, New Delhi 110085</t>
  </si>
  <si>
    <t>Khasra No 41/17, Khera Kalan Village,  near shankar dharam kanta, Delhi. 110081</t>
  </si>
  <si>
    <t>01.01.1019</t>
  </si>
  <si>
    <t>5.7.1017 to 14.7.1019</t>
  </si>
  <si>
    <t>15.7.1019</t>
  </si>
  <si>
    <t>15.7.1017 to 14.7.1019</t>
  </si>
  <si>
    <t>1.4.1015</t>
  </si>
  <si>
    <t>1.11.1018</t>
  </si>
  <si>
    <t>1.9.1010</t>
  </si>
  <si>
    <t>Plot no. 1, Road No. 75, LGF, Chamber 1, Punjabi Bagh, nr Iskon Temple, New Delhi. 110016.</t>
  </si>
  <si>
    <t>Khatuni number 909/1415 opposite swami vivekanand college of education, Nr Toll Plaza, NH7,bhatinda bharnala road, Lehra bega bhatinda.151111</t>
  </si>
  <si>
    <t>15.7.1019 to 14.7.1018</t>
  </si>
  <si>
    <t>15.7.1018</t>
  </si>
  <si>
    <t>15.1.1017 to 14.1.1010</t>
  </si>
  <si>
    <t>15.1.1010</t>
  </si>
  <si>
    <t>Sadasingha, Mijhipali, Sasan, Sambalpur 768100</t>
  </si>
  <si>
    <t>PO 119, Abeerdeen Bazaar, Nr Clock Tower, Port Blair. 744101</t>
  </si>
  <si>
    <t>No.1, Ghorpholia gaon, Chenijan, Sotai, Jorhat</t>
  </si>
  <si>
    <t xml:space="preserve">01.06.1019 </t>
  </si>
  <si>
    <t>01.11.1017</t>
  </si>
  <si>
    <t>01.01.1017</t>
  </si>
  <si>
    <t>01.11.1018</t>
  </si>
  <si>
    <t>01.04.1019</t>
  </si>
  <si>
    <t>1.1.01.1019</t>
  </si>
  <si>
    <t>01.06.1018</t>
  </si>
  <si>
    <t>Name of Party: W5</t>
  </si>
  <si>
    <t>Address of Dry Warehouse: W5</t>
  </si>
  <si>
    <t>Roofing Material W5</t>
  </si>
  <si>
    <t>Height of Flooring ft. W5</t>
  </si>
  <si>
    <t>Height of Warehouse Roof W5</t>
  </si>
  <si>
    <t>No of Loading/Unloading Docks W5</t>
  </si>
  <si>
    <t>Name of Proprietor: W5</t>
  </si>
  <si>
    <t>Contact Number W5</t>
  </si>
  <si>
    <t>Agreement Period: W5</t>
  </si>
  <si>
    <t>Next Renewal Due on: W5</t>
  </si>
  <si>
    <t>Escalation Clause W5</t>
  </si>
  <si>
    <t>Security Deposit (lks) W5</t>
  </si>
  <si>
    <t>Permanent Space hired, Sq ft W5</t>
  </si>
  <si>
    <t>Space Occupied by Own Cold Room, Sq ft W5</t>
  </si>
  <si>
    <t>Space Occupied by Own Office, Sq ft W5</t>
  </si>
  <si>
    <t>Space Occupied by WC&amp;FC Office, Sq ft W5</t>
  </si>
  <si>
    <t>Rent Rs./Sq.ft.W5</t>
  </si>
  <si>
    <t>Capacity - Ltr. (Cft./5.5*16)</t>
  </si>
  <si>
    <t>S.B. Overseas Pvt Ltd, Bombay Road, Argori, Jangalpur. Howarah 711501</t>
  </si>
  <si>
    <t>C/o S.B. Overseas Pvt Ltd, Bombay Road, Argori, jangalpur, Howrah. 711501</t>
  </si>
  <si>
    <t>1.5.1019 to 18.1.1011</t>
  </si>
  <si>
    <t>1.1.1019 to 51.11.1011</t>
  </si>
  <si>
    <t>Village &amp; Post Lalgutuwa, P.S. Dist Ranchi District Jharkhand 855850</t>
  </si>
  <si>
    <t>9451109195/9199155500</t>
  </si>
  <si>
    <t>1.11.1018 to 51.10.1055</t>
  </si>
  <si>
    <t>1.11.1054</t>
  </si>
  <si>
    <t>1.5.1010 to 51.5.1019</t>
  </si>
  <si>
    <t>Shri Gopal Complex, 4P, 4th Floor, Kutchery Road, Ranchi - 854001</t>
  </si>
  <si>
    <t>1.7.1015 to 50.6.1050</t>
  </si>
  <si>
    <t>1.7.1050</t>
  </si>
  <si>
    <t>Khasra No 55 &amp; 56, Village Accheja, Tehsil Dadri, Gautum Buddh Nagar.</t>
  </si>
  <si>
    <t>1.6.1018 to 51.5.1011</t>
  </si>
  <si>
    <t>D1, Rajlaxmi complex, Vadpe Village, Nr Shangrilla resort, Mumbai Nashik highway bhiwandi 411508</t>
  </si>
  <si>
    <t>1.1.1010 to 51.11.1018</t>
  </si>
  <si>
    <t>15.5.1019 to 50.5.1011</t>
  </si>
  <si>
    <t>51.5.1011</t>
  </si>
  <si>
    <t>1.10.1018 to 50.9.1011</t>
  </si>
  <si>
    <t>Gate No. 515,517 At Village Wagholi, Tal Haveli, Dist Pune - 411107</t>
  </si>
  <si>
    <t>15.4.1015 to 14.4.1015</t>
  </si>
  <si>
    <t>15.4.1015</t>
  </si>
  <si>
    <t>1.11.1018 to 51.5.1019</t>
  </si>
  <si>
    <t>1.8.1019 to 51.7.1011</t>
  </si>
  <si>
    <t>9000 ( 15000 Mar-Jun, 7000 Jul-Feb)</t>
  </si>
  <si>
    <t>01.05.1019 to 50.4.1011</t>
  </si>
  <si>
    <t>55,54,55 Nr BSNL Training Centre, Badrana Road, VKI Area Jaipur</t>
  </si>
  <si>
    <t>1.11.1014 to 50.11.1015</t>
  </si>
  <si>
    <t>C-177, Road No 9 J, VKI Area, Jaipur. 501011</t>
  </si>
  <si>
    <t>1.4.1017 to 51.5.1010</t>
  </si>
  <si>
    <t>Plot No R-111 to 15, Industrial Area, Jhotwara, jaipur. 501011</t>
  </si>
  <si>
    <t>1.5.1018 to 51.8.1011</t>
  </si>
  <si>
    <t>G-465, Road No. 9A, VKI Area, Jaipur, Rajasthan. 501015</t>
  </si>
  <si>
    <t>15.5.1019 to 51.5.1011</t>
  </si>
  <si>
    <t>Sanan Warehouse, Khasra No.1195/5/1, Near Sewa Kunj Hospital, Garam Kanadia, Indore 451016</t>
  </si>
  <si>
    <t>1.11.1018 to 50.6.1015</t>
  </si>
  <si>
    <t>Arjun Baroda, Beside shipra police station, A B Road, Indore 455771</t>
  </si>
  <si>
    <t>1.1.1017 to 51.11.1019</t>
  </si>
  <si>
    <t>1.04.19 to 51.5.18</t>
  </si>
  <si>
    <t>1.1.1018 to 51.1.1010</t>
  </si>
  <si>
    <t>5/161E, Kunnathunadu village, Marampilly PO, Aluva 685107</t>
  </si>
  <si>
    <t>5/161D, Kunnathunadu village, Marampilly PO, Aluva 685107</t>
  </si>
  <si>
    <t>15.5.1015 to 50.9.1010</t>
  </si>
  <si>
    <t>11140; 1450</t>
  </si>
  <si>
    <t>1.10.1017 to 50.9.1010</t>
  </si>
  <si>
    <t>Plot No. 1915, Haldiapadar, Kanisi, Bhramapur, Ganjam 760005</t>
  </si>
  <si>
    <t>1.10.1018 to 50.9.1050</t>
  </si>
  <si>
    <t>1.10.1050</t>
  </si>
  <si>
    <t>1.6.1019 to 51.5.1011</t>
  </si>
  <si>
    <t>1.4.1018 to 51.5.1011</t>
  </si>
  <si>
    <t>586/7, Karmeta, Patan Road, Jabalpur 481001</t>
  </si>
  <si>
    <t>1.4.1017 to 51.5.1016</t>
  </si>
  <si>
    <t>586/7, Karmeta, Patan Road, Jabalpur. 481001</t>
  </si>
  <si>
    <t>1.8.1018 to 51.7.1011</t>
  </si>
  <si>
    <t>15.1.1014 to 14.1.1015</t>
  </si>
  <si>
    <t>15.1.1015</t>
  </si>
  <si>
    <t>905, Lordganj, Near Bada Fuhara, Opp. Roopali Collection, Jabalpur 481001</t>
  </si>
  <si>
    <t>Block No 670, NH8, Palsana Chowkdi, Palsana 594515</t>
  </si>
  <si>
    <t>15.6.1015 to 14.6.1011</t>
  </si>
  <si>
    <t>Block No 176, opp. Relief Hotel, NH8, Baleshwar, Palsana, Surat 594517</t>
  </si>
  <si>
    <t>C/o Tapi warehousing &amp; Transportations, Block No 670, NH8, Palsana Chowkdi, Palsana 594515</t>
  </si>
  <si>
    <t>15.6.1019 to 50.6.1011</t>
  </si>
  <si>
    <t>Village/Post kushmi Bazar, Gorakhpur. 175001</t>
  </si>
  <si>
    <t>1.5.1018 to 51.5.1017</t>
  </si>
  <si>
    <t>1.5.1018 to 18.1.1011</t>
  </si>
  <si>
    <t>417, Kalapatty Road, Sitra, Coimbatore. 641055</t>
  </si>
  <si>
    <t>16-1-1015 to 15-1-1011</t>
  </si>
  <si>
    <t>16.1.1015 to 15.1.1011</t>
  </si>
  <si>
    <t>1.11.1018 to 50.11.1011</t>
  </si>
  <si>
    <t>1.4.1019 to 51.5.1018</t>
  </si>
  <si>
    <t>10% After every 5 years</t>
  </si>
  <si>
    <t>1.09.1018 to 50.9.1011</t>
  </si>
  <si>
    <t>Godown No 4, Jyoti Estate, Nr Old Octroi naka, NH-8, Aslali 581417</t>
  </si>
  <si>
    <t>1.7.1017 to 50.6.1016</t>
  </si>
  <si>
    <t>1,5,16,17, R K Warehousing Coop Society Ltd, Nr Alpha hotel, Aslali, Ahmedabad. 581417</t>
  </si>
  <si>
    <t>1.7.1019 to 50.9.1019</t>
  </si>
  <si>
    <t>Naroda Pariya, Nr Bhagat Petrol Pump, Opp. Hotel Satluj, PO Kubernagar, Ahmedabad. 581540</t>
  </si>
  <si>
    <t>Bajrang Lane, Aslali By-pass, Aslali, Ahmedabad 581417</t>
  </si>
  <si>
    <t>405, Raheja Xion, Mumbai. 400017</t>
  </si>
  <si>
    <t>1.7.1018 to 50.6.1011</t>
  </si>
  <si>
    <t>1.5.1018 to 18.1.1017</t>
  </si>
  <si>
    <t>Arazi No 1618, NH-1, Sachendi, Next to Britania Factory, Opp. Mahindra Showroom,Kanpur, 109504</t>
  </si>
  <si>
    <t>1.5.1018 to 18.1.1015</t>
  </si>
  <si>
    <t>1.5.1015</t>
  </si>
  <si>
    <t>1.7.1018 to 50.6.1019</t>
  </si>
  <si>
    <t>Plot No. 1151,1157 &amp; 1159, Mouza Balihati, Paschim Medinipur</t>
  </si>
  <si>
    <t>1.1.1010 to 51.11.1051</t>
  </si>
  <si>
    <t>1.1.1055</t>
  </si>
  <si>
    <t>49/54/A BT Road, Balaram Dharma Sopan, Khardah, North 14 Parganas, West Bengal 700116</t>
  </si>
  <si>
    <t>14.1.1010 to 18.1.1015</t>
  </si>
  <si>
    <t>Meta strip Complex, NH 17B, Zuari Nagar, Goa 405716</t>
  </si>
  <si>
    <t>1.5.1019 to 18.1.1018</t>
  </si>
  <si>
    <t>Industrial Estate, Zuarinagar, Sancoale, Sancoale, Goa, 405716</t>
  </si>
  <si>
    <t>0851 155 5800</t>
  </si>
  <si>
    <t>11.1.1019 to 51.5.1011</t>
  </si>
  <si>
    <t>1.7.16 - 51.08.51 for 6511 sq. ft &amp; 01.09.16 - 51.08.51 for 6846 sq. ft</t>
  </si>
  <si>
    <t>Jail Road, Shillong, 795001</t>
  </si>
  <si>
    <t>Lalungaon, lokhhra, NH 57, Guwahati. 781054</t>
  </si>
  <si>
    <t>1-9-1018 to 51-8-1017</t>
  </si>
  <si>
    <t>51-8-1017</t>
  </si>
  <si>
    <t>1.10.1019 to 50.9.1011</t>
  </si>
  <si>
    <t>1.17.1017 to 50.11.1011</t>
  </si>
  <si>
    <t>1001, 1015</t>
  </si>
  <si>
    <t>5.18.1016 to 51.8.1011</t>
  </si>
  <si>
    <t>Parvathamma Rural Godown, Adakamarnahalli,  Makali post, Dasanapura Hobli, Bangalore North, Bangalore. 561115</t>
  </si>
  <si>
    <t>Parvathamma Rural Godown, Survey No. 75, Harokyathanahalli, Dasanapura Hobli, Bangalore North, Bangalore. 561115</t>
  </si>
  <si>
    <t>1.11.1016 to 51.10.1015</t>
  </si>
  <si>
    <t>15.7.1019 to 51.10.1015</t>
  </si>
  <si>
    <t>1.1.1018 to 51.11.1019</t>
  </si>
  <si>
    <t>Survey#09, Maruthi Godown, 10th mile,Dasanapura Hobli, Makali Village, Tumkur Hiway Road, Bangalore. 561115</t>
  </si>
  <si>
    <t>1.09.1017 to 51.08.1010</t>
  </si>
  <si>
    <t>1.01.1018 to 51.1.1018</t>
  </si>
  <si>
    <t>1.1.1018 to 51.1.1018</t>
  </si>
  <si>
    <t>1.1.1019 to 51.1.1011</t>
  </si>
  <si>
    <t>01.05.1018 to 50.4.1011</t>
  </si>
  <si>
    <t>Gut No 451, Kokangaon, Tal Niphad, Dist Nashik</t>
  </si>
  <si>
    <t>05611606841 / 45</t>
  </si>
  <si>
    <t>01.05.15 - 50.04.14</t>
  </si>
  <si>
    <t>51B, Office Lane, Agartala, Tripura West 799001</t>
  </si>
  <si>
    <t>Ramnagar, Khelma, Silchar 788005, ASSAM</t>
  </si>
  <si>
    <t>1.06.1016 to 51.5.1051</t>
  </si>
  <si>
    <t>01.06.1051</t>
  </si>
  <si>
    <t>1.10.1018 to 50.09.1055</t>
  </si>
  <si>
    <t>01.10.1055</t>
  </si>
  <si>
    <t>Shree Ram Krishna Associates, Tarapur, Ramnagar,  Silchar.788005</t>
  </si>
  <si>
    <t>1-1-1017 to 51-11-1019</t>
  </si>
  <si>
    <t>01.08.1014 to 50.04.1011</t>
  </si>
  <si>
    <t>Survey 711, devaryamjal, shamirrpet mandal, Medchal. 500075</t>
  </si>
  <si>
    <t>1.10.1016 to 50.9.1019</t>
  </si>
  <si>
    <t>1.1.1017 to 51.11.1015</t>
  </si>
  <si>
    <t>1.4.1011 to 51.5.1010</t>
  </si>
  <si>
    <t>Door No. F P VIII 597 C, Nattuvangadi, A L Hilal, Puthukode, Malappuram</t>
  </si>
  <si>
    <t>1.5.1017 to 51.11.1014</t>
  </si>
  <si>
    <t>1.5.1019 to 50.4.1011</t>
  </si>
  <si>
    <t>1.1.1019 to 51.11.1050</t>
  </si>
  <si>
    <t>1.1.1051</t>
  </si>
  <si>
    <t>15.10.1014 to 14.10.1015</t>
  </si>
  <si>
    <t>15.10.1015</t>
  </si>
  <si>
    <t>1.5.1018 to 50.4.1017</t>
  </si>
  <si>
    <t>1.11.1017 to 50.11.1010</t>
  </si>
  <si>
    <t>1.4.1016 to 51.5.1011</t>
  </si>
  <si>
    <t>15.5.1019 to 14.5.1011</t>
  </si>
  <si>
    <t>15.5.1011</t>
  </si>
  <si>
    <t>1.4.1019 to 51.5.1011</t>
  </si>
  <si>
    <t>Gp No. 184, Shop No 1 to 6, First Floor Avani Bizworld Akrudi Chinchwad MIDC Bhosari, Pune Maharashtra 411055</t>
  </si>
  <si>
    <t>Gut No.55, Plot No.18, Sajapur, MIDC, Waluj Aurangabad 451156</t>
  </si>
  <si>
    <t>1.4.1014 to 51.5.1015</t>
  </si>
  <si>
    <t>Plot no. 118-A, five star industrial area, Shendra, MIDC, Aurangabad. 451005</t>
  </si>
  <si>
    <t>15.1.1018 to 14.1.1015</t>
  </si>
  <si>
    <t>C/o Hotel Raj, Kushal Nagar, Jalna Rd, Aurangabad. 451005</t>
  </si>
  <si>
    <t>1058, Chalaser, Behind Best Price, Agra- Firozabad Road, Agra 6, 181007</t>
  </si>
  <si>
    <t>1.1.1015 to 51.1.1014</t>
  </si>
  <si>
    <t>501, Kaveri Green Ground, Kailash Vihar, Agra 181001</t>
  </si>
  <si>
    <t>1.5.1018 to 50.4.1011</t>
  </si>
  <si>
    <t>1.10.1015 to 50.9.1011</t>
  </si>
  <si>
    <t>0511-1455151</t>
  </si>
  <si>
    <t>1.10.1016 to 51.5.1019</t>
  </si>
  <si>
    <t>9504658960/915560705</t>
  </si>
  <si>
    <t>1.9.1019 to 51.8.1014</t>
  </si>
  <si>
    <t>1.1.1016 to 51.1.1015</t>
  </si>
  <si>
    <t>1.5.1019 to 51.1.1019</t>
  </si>
  <si>
    <t>01.05.1017 to 50.4.1010</t>
  </si>
  <si>
    <t>Jamin Bairwan, Chak Darshan Pargana Kaswar Raja, Mohansarai, Rajatalab. Varanasi 111501</t>
  </si>
  <si>
    <t>1.6.1018 to 51.5.1018</t>
  </si>
  <si>
    <t>C-16/55-1C, Ramkatora, Varanasi</t>
  </si>
  <si>
    <t>1.11.1018 to 51.8.1011</t>
  </si>
  <si>
    <t>055-11150551/4147</t>
  </si>
  <si>
    <t>1.11.1018 to 51.11.1017</t>
  </si>
  <si>
    <t>56, Ganesh Chandra Avenue, Kolkata 700015</t>
  </si>
  <si>
    <t>515, nirgundi road, opp. Nirgundi railway station, NH5, Biltaruan, Cuttack. 754015</t>
  </si>
  <si>
    <t>1.5.1015 to 18.1.1011</t>
  </si>
  <si>
    <t>K K Bhawasinka Compound, Cantonment Road, Cuttack. 755001</t>
  </si>
  <si>
    <t>NH-1, Ningha, PO Ningha Dist Burdwan. Pin 715570</t>
  </si>
  <si>
    <t>EM Bypass Baikunthpally, Near Forest Ranger Office, Silliguri 754001</t>
  </si>
  <si>
    <t>1.7.1011 to 50.6.1011</t>
  </si>
  <si>
    <t>1.8.1011 to 51.7.1011</t>
  </si>
  <si>
    <t>1.10.1015 to 50.9.1014</t>
  </si>
  <si>
    <t>1.7.1017 to 51.11.1019</t>
  </si>
  <si>
    <t>Plot no E576, Basni Industrial Area, Phase II, Jodhpur.</t>
  </si>
  <si>
    <t>1.7.1014 to 50.6.1015</t>
  </si>
  <si>
    <t>1.5.1015 to 18.1.1014</t>
  </si>
  <si>
    <t>14, Dhoble Bhavan, LT Road, Masjid Bunder, Mumbai 400005</t>
  </si>
  <si>
    <t>1.7.1017 to 50.6.1010</t>
  </si>
  <si>
    <t>10% after every 5 years</t>
  </si>
  <si>
    <t>1.5.1017 to 18.1.1010</t>
  </si>
  <si>
    <t>1.5.1010</t>
  </si>
  <si>
    <t>Bluestar(1150), Motherson(5000)</t>
  </si>
  <si>
    <t>Survey No 91/1, Raj Industrial park, B/h Ruda Transport Nagar, Nr SAAT Hanuman Temple, Rajkot-Ahmedabad Highway, Rajkot. 560001</t>
  </si>
  <si>
    <t>RUDA Transport Nagar, Plot 14, Nr Himalaya transport, Navagam, Rajkot 560005</t>
  </si>
  <si>
    <t>1.5.1019 to 51.5.1018</t>
  </si>
  <si>
    <t>10% after every 5 year</t>
  </si>
  <si>
    <t>Survey No. 56/5, kasturbadham, Dhandhdi Gam Road, Nr Tramba Gam, rajkot. 560010</t>
  </si>
  <si>
    <t>1.7.1019 to 50.6.1011</t>
  </si>
  <si>
    <t>9451114057/7070909166</t>
  </si>
  <si>
    <t>8.9.1017 to 50.4.1018</t>
  </si>
  <si>
    <t>1.4.1016 to 51.5.1018</t>
  </si>
  <si>
    <t>01691 141115</t>
  </si>
  <si>
    <t>15.11.1017 to 51.8.1014</t>
  </si>
  <si>
    <t>As &amp; Post. Kealapur, Dhabhi Road, Vadodara. 590004</t>
  </si>
  <si>
    <t>1.5.1017 to 19.1.1010</t>
  </si>
  <si>
    <t>1.11.1018 to 51.5.1011</t>
  </si>
  <si>
    <t>1.11.1018 to 51.10.1011</t>
  </si>
  <si>
    <t>405, Rhaej xion, jetha compound, Dr B Ambedkar Road, by culla(East), Mumbai 400017</t>
  </si>
  <si>
    <t>14.4.1017 to 15.4.1010</t>
  </si>
  <si>
    <t>Khasra No 579/580, Village bhatti, Nr Makkar Farms, Asola fatehpur Beri, New Delhi. 110074</t>
  </si>
  <si>
    <t>1.8.1017 to 51.7.1016</t>
  </si>
  <si>
    <t>1.08.17 to 51.7.1016</t>
  </si>
  <si>
    <t>Khasara no 579-580 bill. Bhati, Near makkar farm house, fatepur beri, Delhi. 110074</t>
  </si>
  <si>
    <t>1.9.1018 to 50.11.10</t>
  </si>
  <si>
    <t>18, Kohat enclave, Pitampura, New Delhi. 110054</t>
  </si>
  <si>
    <t>1.5.1014 to 18.1.1015</t>
  </si>
  <si>
    <t>98104559191/9875411115</t>
  </si>
  <si>
    <t>01.01.1010 to 51.11.1018</t>
  </si>
  <si>
    <t>Agro Freeze Cold Storage,5 GT Karnal Road,Rajasthani Udhyog Nagar 110055</t>
  </si>
  <si>
    <t>1.5.1018 to 51.5.1011</t>
  </si>
  <si>
    <t>1.1.1018 to 51.1.1011</t>
  </si>
  <si>
    <t>165, Vardhaman Primium Mall,Deepali, Pitampura, Outer Ring Road, New Delhi 110054</t>
  </si>
  <si>
    <t>1.10.1017 to 51.11.1018</t>
  </si>
  <si>
    <t>1.10.1018 to 50.5.1010</t>
  </si>
  <si>
    <t>1.1.1015 to 51.11.1011</t>
  </si>
  <si>
    <t>Delhi-110055, India</t>
  </si>
  <si>
    <t>1.1.1016 to 51.1.1014</t>
  </si>
  <si>
    <t>Nr Imperial Banquet Hall, Purmandal road, Bari Brahmana, Jammu 181155</t>
  </si>
  <si>
    <t>181/5, Industrial Area 1, Chandigarh</t>
  </si>
  <si>
    <t>1.5.1018 to 18.1.1019</t>
  </si>
  <si>
    <t>1.5.1019</t>
  </si>
  <si>
    <t>1.4.1016 to 51.5.1015</t>
  </si>
  <si>
    <t>1.11.1019 to 50.11.1018</t>
  </si>
  <si>
    <t>1.5.1018 to 51.11.1019</t>
  </si>
  <si>
    <t>576,HSIIDC, Food Park, Industrial Estate Rai, Phase 1, Sector 58, Sonepat, Haryana</t>
  </si>
  <si>
    <t>1.9.1017 to 51.8.1010</t>
  </si>
  <si>
    <t>1.4.1017 to 51.11.1019</t>
  </si>
  <si>
    <t>Pitho Road, Rampuraphul, Bhatinda Dist. 151105</t>
  </si>
  <si>
    <t>1.11.1019 to 50.11.1011</t>
  </si>
  <si>
    <t>15.5.1015 to 14.5.1011</t>
  </si>
  <si>
    <t>Central warehouse old, village, Pahargaon, Port Blair, Andaman and Nicobar Islands 744105</t>
  </si>
  <si>
    <t>1.7.1017 to 50.6.1019</t>
  </si>
  <si>
    <t>01.06.1014 -51.05.1019</t>
  </si>
  <si>
    <t>1.10.1019 to 51.8.1010</t>
  </si>
  <si>
    <t>5 feet</t>
  </si>
  <si>
    <t>1.5.1019 to 51.1.1010</t>
  </si>
  <si>
    <t>01.08.15 to 51.07.50</t>
  </si>
  <si>
    <t>01.08.51</t>
  </si>
  <si>
    <t>1-9-1016 to 51-8-1019</t>
  </si>
  <si>
    <t>9456016591/8816550117</t>
  </si>
  <si>
    <t>1.1.1019 to 50.11.1017</t>
  </si>
  <si>
    <t>1.5.1018 to 51.11.1016</t>
  </si>
  <si>
    <t>1-7-1018 to 50-6-1011</t>
  </si>
  <si>
    <t>Survey no. 589, Nilkanth Warehouse, At Shobhasan, Mehsana. 584001</t>
  </si>
  <si>
    <t>01.11.1019 to 51.10.1018</t>
  </si>
  <si>
    <t>Banas Dairy Road, Palanpur, 585001</t>
  </si>
  <si>
    <t>15.01.1010 to 51.01.1019</t>
  </si>
  <si>
    <t>Bajarang Lane, Aslali Bypass, Aslali-581417.</t>
  </si>
  <si>
    <t>01.01.1010 to 51.05.1015</t>
  </si>
  <si>
    <t>Khasra  No.95/5/1, Village Barrai, NH 11 road, 11 Mile to Raisen New bypass Road, Bhopal. 461047</t>
  </si>
  <si>
    <t>9816551899/7694809611</t>
  </si>
  <si>
    <t>01.11.1019 to 50.11.1019</t>
  </si>
  <si>
    <t>1.1.1050</t>
  </si>
  <si>
    <t>Khasara no 501, Godar Mau, Nr Sant Aashram, Bapuaashra, Gandhi Nagar circle, Bhopal 461056</t>
  </si>
  <si>
    <t>9981119105/9805011751</t>
  </si>
  <si>
    <t>01.04.1010 to 51.05.1019</t>
  </si>
  <si>
    <t>Sector H7/6, Govindpura, Industrial Area, Bhopal. 461015</t>
  </si>
  <si>
    <t>01.01.1010 to 51.01.1019</t>
  </si>
  <si>
    <t>10% every 5 years</t>
  </si>
  <si>
    <t>9776659177;9776659177;94570771569;7581051155</t>
  </si>
  <si>
    <t>01.05.1010 to 18.01.1019</t>
  </si>
  <si>
    <t>C/o United Transmovers Pvt Ltd, Bandia Road, Parsakhera Industrial Area, Bareilly. 145501</t>
  </si>
  <si>
    <t>01.06.1019 to 51.05.1018</t>
  </si>
  <si>
    <t>5-A, Haziapur, Stadium Road, Bareilly</t>
  </si>
  <si>
    <t>01.11.1019 to 50.11.1011</t>
  </si>
  <si>
    <t>2% every year</t>
  </si>
  <si>
    <t>12% every 5 year</t>
  </si>
  <si>
    <t>2% after every year</t>
  </si>
  <si>
    <t>12% after every 5years</t>
  </si>
  <si>
    <t>2% every year on rent maintenance and warai</t>
  </si>
  <si>
    <t>2% every year on rentals only.</t>
  </si>
  <si>
    <t>2% every year on rentals only</t>
  </si>
  <si>
    <t>12% after every 5 years</t>
  </si>
  <si>
    <t>1.2% every year</t>
  </si>
  <si>
    <t>12% every 5 yrs</t>
  </si>
  <si>
    <t>12% every 5 Years</t>
  </si>
  <si>
    <t>12% Every 5 Years</t>
  </si>
  <si>
    <t>1.2% every year on rentals only</t>
  </si>
  <si>
    <t>2% Every year</t>
  </si>
  <si>
    <t>2% escalation every year</t>
  </si>
  <si>
    <t>1.2% every year on rentals only.</t>
  </si>
  <si>
    <t>1.2% every year on rental</t>
  </si>
  <si>
    <t xml:space="preserve">2% Every year on rentals and WCnf charges to be levied </t>
  </si>
  <si>
    <t>12% After every 5 Years</t>
  </si>
  <si>
    <t>12% after every year</t>
  </si>
  <si>
    <t>2% Every Year</t>
  </si>
  <si>
    <t>Section</t>
  </si>
  <si>
    <t>GCMMF Owned Wet Cold Room</t>
  </si>
  <si>
    <t>GCMMF Owned Frozen Cold Room</t>
  </si>
  <si>
    <t>WC&amp;FC Details</t>
  </si>
  <si>
    <t>Walkthrough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</si>
</sst>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1" x14ac:knownFonts="1">
    <font>
      <sz val="11"/>
      <color theme="1"/>
      <name val="Calibri"/>
      <family val="2"/>
      <scheme val="minor"/>
    </font>
    <font>
      <sz val="10"/>
      <name val="Arial"/>
      <family val="2"/>
    </font>
    <font>
      <sz val="12"/>
      <color rgb="FF0A0101"/>
      <name val="Arial"/>
      <family val="2"/>
    </font>
    <font>
      <u/>
      <sz val="11"/>
      <color theme="10"/>
      <name val="Calibri"/>
      <family val="2"/>
      <scheme val="minor"/>
    </font>
    <font>
      <sz val="10"/>
      <name val="Cambria"/>
      <family val="1"/>
    </font>
    <font>
      <sz val="11"/>
      <color theme="1"/>
      <name val="Cambria"/>
      <family val="1"/>
    </font>
    <font>
      <b/>
      <sz val="11"/>
      <color theme="1"/>
      <name val="Cambria"/>
      <family val="1"/>
    </font>
    <font>
      <sz val="11"/>
      <name val="Cambria"/>
      <family val="1"/>
    </font>
    <font>
      <u/>
      <sz val="11"/>
      <color theme="10"/>
      <name val="Cambria"/>
      <family val="1"/>
    </font>
    <font>
      <sz val="11"/>
      <color rgb="FF222222"/>
      <name val="Cambria"/>
      <family val="1"/>
    </font>
    <font>
      <sz val="11"/>
      <color rgb="FF000000"/>
      <name val="Cambria"/>
      <family val="1"/>
    </font>
  </fonts>
  <fills count="9">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C000"/>
        <bgColor indexed="64"/>
      </patternFill>
    </fill>
    <fill>
      <patternFill patternType="solid">
        <fgColor rgb="FF92D050"/>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rgb="FF00B0F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style="medium">
        <color indexed="64"/>
      </bottom>
      <diagonal/>
    </border>
    <border>
      <left/>
      <right/>
      <top style="thin">
        <color theme="0"/>
      </top>
      <bottom style="medium">
        <color indexed="64"/>
      </bottom>
      <diagonal/>
    </border>
    <border>
      <left/>
      <right/>
      <top style="thin">
        <color theme="0"/>
      </top>
      <bottom/>
      <diagonal/>
    </border>
  </borders>
  <cellStyleXfs count="3">
    <xf numFmtId="0" fontId="0" fillId="0" borderId="0"/>
    <xf numFmtId="0" fontId="1" fillId="0" borderId="0"/>
    <xf numFmtId="0" fontId="3" fillId="0" borderId="0" applyNumberFormat="0" applyFill="0" applyBorder="0" applyAlignment="0" applyProtection="0"/>
  </cellStyleXfs>
  <cellXfs count="66">
    <xf numFmtId="0" fontId="0" fillId="0" borderId="0" xfId="0"/>
    <xf numFmtId="0" fontId="0" fillId="0" borderId="1" xfId="0" applyBorder="1"/>
    <xf numFmtId="0" fontId="2" fillId="0" borderId="0" xfId="0" applyFont="1"/>
    <xf numFmtId="0" fontId="4" fillId="0" borderId="0" xfId="0" applyFont="1" applyAlignment="1">
      <alignment vertical="top"/>
    </xf>
    <xf numFmtId="0" fontId="5" fillId="0" borderId="1" xfId="0" applyFont="1" applyFill="1" applyBorder="1" applyAlignment="1">
      <alignment horizontal="left" vertical="center"/>
    </xf>
    <xf numFmtId="0" fontId="5" fillId="0" borderId="1" xfId="0" applyFont="1" applyFill="1" applyBorder="1" applyAlignment="1">
      <alignment horizontal="left" vertical="center" wrapText="1"/>
    </xf>
    <xf numFmtId="0" fontId="5" fillId="6" borderId="10" xfId="0" applyFont="1" applyFill="1" applyBorder="1" applyAlignment="1">
      <alignment horizontal="center"/>
    </xf>
    <xf numFmtId="0" fontId="5" fillId="6" borderId="11" xfId="0" applyFont="1" applyFill="1" applyBorder="1" applyAlignment="1">
      <alignment horizontal="center"/>
    </xf>
    <xf numFmtId="0" fontId="5" fillId="6" borderId="12" xfId="0" applyFont="1" applyFill="1" applyBorder="1" applyAlignment="1">
      <alignment horizontal="center"/>
    </xf>
    <xf numFmtId="0" fontId="5" fillId="7" borderId="2" xfId="0" applyFont="1" applyFill="1" applyBorder="1" applyAlignment="1">
      <alignment horizontal="center"/>
    </xf>
    <xf numFmtId="0" fontId="5" fillId="5" borderId="2" xfId="0" applyFont="1" applyFill="1" applyBorder="1" applyAlignment="1">
      <alignment horizontal="center"/>
    </xf>
    <xf numFmtId="1" fontId="6" fillId="2" borderId="3" xfId="0" applyNumberFormat="1" applyFont="1" applyFill="1" applyBorder="1" applyAlignment="1">
      <alignment horizontal="center" vertical="top"/>
    </xf>
    <xf numFmtId="0" fontId="5" fillId="0" borderId="1" xfId="0" applyFont="1" applyFill="1" applyBorder="1" applyAlignment="1"/>
    <xf numFmtId="0" fontId="7" fillId="0" borderId="1" xfId="0" applyFont="1" applyFill="1" applyBorder="1" applyAlignment="1">
      <alignment horizontal="right" vertical="center"/>
    </xf>
    <xf numFmtId="1" fontId="7" fillId="0" borderId="1" xfId="0" applyNumberFormat="1" applyFont="1" applyFill="1" applyBorder="1" applyAlignment="1">
      <alignment horizontal="right" vertical="center"/>
    </xf>
    <xf numFmtId="0" fontId="7" fillId="0" borderId="1" xfId="0" applyFont="1" applyFill="1" applyBorder="1" applyAlignment="1">
      <alignment horizontal="right" vertical="top"/>
    </xf>
    <xf numFmtId="2" fontId="5" fillId="0" borderId="1" xfId="0" applyNumberFormat="1" applyFont="1" applyFill="1" applyBorder="1" applyAlignment="1">
      <alignment vertical="center"/>
    </xf>
    <xf numFmtId="1" fontId="5" fillId="0" borderId="1" xfId="0" applyNumberFormat="1" applyFont="1" applyFill="1" applyBorder="1" applyAlignment="1"/>
    <xf numFmtId="2" fontId="5" fillId="0" borderId="1" xfId="0" applyNumberFormat="1" applyFont="1" applyFill="1" applyBorder="1" applyAlignment="1"/>
    <xf numFmtId="0" fontId="5" fillId="0" borderId="1" xfId="0" applyFont="1" applyFill="1" applyBorder="1" applyAlignment="1">
      <alignment horizontal="center" vertical="center"/>
    </xf>
    <xf numFmtId="164" fontId="5" fillId="0" borderId="1" xfId="0" applyNumberFormat="1" applyFont="1" applyFill="1" applyBorder="1" applyAlignment="1"/>
    <xf numFmtId="0" fontId="8" fillId="0" borderId="1" xfId="2" applyFont="1" applyFill="1" applyBorder="1" applyAlignment="1"/>
    <xf numFmtId="0" fontId="7" fillId="0" borderId="1" xfId="0" applyFont="1" applyBorder="1" applyAlignment="1">
      <alignment horizontal="right" vertical="top"/>
    </xf>
    <xf numFmtId="0" fontId="5" fillId="0" borderId="0" xfId="0" applyFont="1" applyFill="1" applyBorder="1" applyAlignment="1"/>
    <xf numFmtId="0" fontId="5" fillId="0" borderId="1" xfId="0" applyFont="1" applyBorder="1"/>
    <xf numFmtId="0" fontId="7" fillId="0" borderId="1" xfId="0" applyFont="1" applyFill="1" applyBorder="1" applyAlignment="1">
      <alignment horizontal="center" vertical="center"/>
    </xf>
    <xf numFmtId="1" fontId="7" fillId="0" borderId="1" xfId="0" applyNumberFormat="1" applyFont="1" applyFill="1" applyBorder="1" applyAlignment="1">
      <alignment horizontal="center" vertical="center"/>
    </xf>
    <xf numFmtId="0" fontId="9" fillId="0" borderId="1" xfId="0" applyFont="1" applyBorder="1"/>
    <xf numFmtId="0" fontId="5" fillId="0" borderId="1" xfId="0" applyFont="1" applyFill="1" applyBorder="1" applyAlignment="1">
      <alignment vertical="top"/>
    </xf>
    <xf numFmtId="14" fontId="5" fillId="0" borderId="1" xfId="0" applyNumberFormat="1" applyFont="1" applyFill="1" applyBorder="1" applyAlignment="1"/>
    <xf numFmtId="0" fontId="10" fillId="0" borderId="1" xfId="0" applyFont="1" applyBorder="1" applyAlignment="1">
      <alignment vertical="center"/>
    </xf>
    <xf numFmtId="0" fontId="5" fillId="3" borderId="1" xfId="0" applyFont="1" applyFill="1" applyBorder="1" applyAlignment="1">
      <alignment vertical="center"/>
    </xf>
    <xf numFmtId="3" fontId="5" fillId="0" borderId="1" xfId="0" applyNumberFormat="1" applyFont="1" applyFill="1" applyBorder="1" applyAlignment="1"/>
    <xf numFmtId="0" fontId="7" fillId="0" borderId="3" xfId="0" applyFont="1" applyFill="1" applyBorder="1" applyAlignment="1"/>
    <xf numFmtId="49" fontId="5" fillId="0" borderId="0" xfId="0" applyNumberFormat="1" applyFont="1" applyFill="1" applyBorder="1" applyAlignment="1"/>
    <xf numFmtId="0" fontId="5" fillId="0" borderId="3" xfId="0" applyFont="1" applyFill="1" applyBorder="1" applyAlignment="1"/>
    <xf numFmtId="0" fontId="6" fillId="2" borderId="4" xfId="0" applyFont="1" applyFill="1" applyBorder="1" applyAlignment="1">
      <alignment vertical="top"/>
    </xf>
    <xf numFmtId="0" fontId="6" fillId="2" borderId="3" xfId="0" applyFont="1" applyFill="1" applyBorder="1" applyAlignment="1">
      <alignment vertical="top"/>
    </xf>
    <xf numFmtId="0" fontId="6" fillId="2" borderId="3" xfId="0" applyFont="1" applyFill="1" applyBorder="1" applyAlignment="1">
      <alignment horizontal="left" vertical="top"/>
    </xf>
    <xf numFmtId="0" fontId="6" fillId="2" borderId="3" xfId="0" applyFont="1" applyFill="1" applyBorder="1" applyAlignment="1">
      <alignment horizontal="center" vertical="top"/>
    </xf>
    <xf numFmtId="1" fontId="6" fillId="4" borderId="7" xfId="0" applyNumberFormat="1" applyFont="1" applyFill="1" applyBorder="1" applyAlignment="1">
      <alignment vertical="top"/>
    </xf>
    <xf numFmtId="1" fontId="6" fillId="0" borderId="7" xfId="0" applyNumberFormat="1" applyFont="1" applyBorder="1" applyAlignment="1">
      <alignment horizontal="center" vertical="top"/>
    </xf>
    <xf numFmtId="0" fontId="6" fillId="0" borderId="6" xfId="0" applyFont="1" applyBorder="1" applyAlignment="1">
      <alignment horizontal="center" vertical="top"/>
    </xf>
    <xf numFmtId="1" fontId="6" fillId="0" borderId="8" xfId="0" applyNumberFormat="1" applyFont="1" applyBorder="1" applyAlignment="1">
      <alignment horizontal="center" vertical="top"/>
    </xf>
    <xf numFmtId="0" fontId="6" fillId="0" borderId="7" xfId="0" applyFont="1" applyBorder="1" applyAlignment="1">
      <alignment horizontal="center" vertical="top"/>
    </xf>
    <xf numFmtId="1" fontId="6" fillId="2" borderId="7" xfId="0" applyNumberFormat="1" applyFont="1" applyFill="1" applyBorder="1" applyAlignment="1">
      <alignment vertical="top"/>
    </xf>
    <xf numFmtId="0" fontId="6" fillId="2" borderId="7" xfId="0" applyFont="1" applyFill="1" applyBorder="1" applyAlignment="1">
      <alignment vertical="top"/>
    </xf>
    <xf numFmtId="0" fontId="6" fillId="2" borderId="6" xfId="0" applyFont="1" applyFill="1" applyBorder="1" applyAlignment="1">
      <alignment vertical="top"/>
    </xf>
    <xf numFmtId="0" fontId="6" fillId="2" borderId="1" xfId="0" applyFont="1" applyFill="1" applyBorder="1" applyAlignment="1">
      <alignment vertical="top"/>
    </xf>
    <xf numFmtId="0" fontId="6" fillId="2" borderId="9" xfId="0" applyFont="1" applyFill="1" applyBorder="1" applyAlignment="1">
      <alignment vertical="top"/>
    </xf>
    <xf numFmtId="2" fontId="7" fillId="0" borderId="1" xfId="0" applyNumberFormat="1" applyFont="1" applyFill="1" applyBorder="1" applyAlignment="1">
      <alignment horizontal="right" vertical="top"/>
    </xf>
    <xf numFmtId="2" fontId="7" fillId="0" borderId="1" xfId="0" applyNumberFormat="1" applyFont="1" applyBorder="1" applyAlignment="1">
      <alignment horizontal="right" vertical="top"/>
    </xf>
    <xf numFmtId="0" fontId="5" fillId="0" borderId="5" xfId="0" applyFont="1" applyFill="1" applyBorder="1" applyAlignment="1"/>
    <xf numFmtId="0" fontId="5" fillId="0" borderId="1" xfId="0" applyFont="1" applyBorder="1" applyAlignment="1">
      <alignment vertical="center"/>
    </xf>
    <xf numFmtId="0" fontId="5" fillId="0" borderId="1" xfId="0" applyFont="1" applyBorder="1" applyAlignment="1"/>
    <xf numFmtId="1" fontId="7" fillId="0" borderId="1" xfId="0" applyNumberFormat="1" applyFont="1" applyBorder="1" applyAlignment="1">
      <alignment horizontal="right" vertical="top"/>
    </xf>
    <xf numFmtId="0" fontId="5" fillId="0" borderId="1" xfId="0" applyFont="1" applyFill="1" applyBorder="1" applyAlignment="1" applyProtection="1">
      <alignment horizontal="left" vertical="center" wrapText="1"/>
      <protection locked="0"/>
    </xf>
    <xf numFmtId="0" fontId="5" fillId="0" borderId="4" xfId="0" applyFont="1" applyFill="1" applyBorder="1" applyAlignment="1"/>
    <xf numFmtId="1" fontId="5" fillId="0" borderId="1" xfId="0" applyNumberFormat="1" applyFont="1" applyFill="1" applyBorder="1" applyAlignment="1">
      <alignment vertical="top"/>
    </xf>
    <xf numFmtId="0" fontId="5" fillId="0" borderId="1" xfId="0" applyFont="1" applyFill="1" applyBorder="1" applyProtection="1">
      <protection locked="0"/>
    </xf>
    <xf numFmtId="0" fontId="10" fillId="0" borderId="1" xfId="0" applyFont="1" applyBorder="1"/>
    <xf numFmtId="0" fontId="5" fillId="3" borderId="1" xfId="0" applyFont="1" applyFill="1" applyBorder="1" applyAlignment="1" applyProtection="1">
      <alignment horizontal="left"/>
    </xf>
    <xf numFmtId="0" fontId="6" fillId="8" borderId="0" xfId="0" applyFont="1" applyFill="1" applyAlignment="1"/>
    <xf numFmtId="0" fontId="5" fillId="0" borderId="13"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cellXfs>
  <cellStyles count="3">
    <cellStyle name="Hyperlink" xfId="2" builtinId="8"/>
    <cellStyle name="Normal" xfId="0" builtinId="0"/>
    <cellStyle name="Normal 3" xfId="1" xr:uid="{00000000-0005-0000-0000-000003000000}"/>
  </cellStyles>
  <dxfs count="40">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s>
  <tableStyles count="0" defaultTableStyle="TableStyleMedium2" defaultPivotStyle="PivotStyleLight16"/>
  <colors>
    <mruColors>
      <color rgb="FFFF9F9F"/>
      <color rgb="FFF8D028"/>
      <color rgb="FF459828"/>
      <color rgb="FFFFDE65"/>
      <color rgb="FFA86ED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H68"/>
  <sheetViews>
    <sheetView tabSelected="1" zoomScale="70" zoomScaleNormal="70" workbookViewId="0">
      <pane xSplit="1" ySplit="2" topLeftCell="B3" activePane="bottomRight" state="frozen"/>
      <selection pane="topRight" activeCell="D1" sqref="D1"/>
      <selection pane="bottomLeft" activeCell="A4" sqref="A4"/>
      <selection pane="bottomRight"/>
    </sheetView>
  </sheetViews>
  <sheetFormatPr defaultColWidth="9.08984375" defaultRowHeight="14.5" x14ac:dyDescent="0.35"/>
  <cols>
    <col min="1" max="1" width="17.08984375" bestFit="1" customWidth="1"/>
    <col min="2" max="2" width="50.6328125" customWidth="1"/>
    <col min="3" max="4" width="57.453125" customWidth="1"/>
    <col min="5" max="5" width="143.453125" bestFit="1" customWidth="1"/>
    <col min="6" max="6" width="116.453125" customWidth="1"/>
    <col min="7" max="7" width="90.90625" bestFit="1" customWidth="1"/>
    <col min="8" max="8" width="28.453125" bestFit="1" customWidth="1"/>
    <col min="9" max="9" width="32.453125" bestFit="1" customWidth="1"/>
    <col min="10" max="10" width="38.36328125" bestFit="1" customWidth="1"/>
    <col min="11" max="11" width="44.36328125" bestFit="1" customWidth="1"/>
    <col min="12" max="12" width="50.6328125" customWidth="1"/>
    <col min="13" max="13" width="31" customWidth="1"/>
    <col min="14" max="14" width="63.54296875" customWidth="1"/>
    <col min="15" max="15" width="33.453125" bestFit="1" customWidth="1"/>
    <col min="16" max="16" width="27.36328125" bestFit="1" customWidth="1"/>
    <col min="17" max="17" width="32.453125" bestFit="1" customWidth="1"/>
    <col min="18" max="18" width="38.36328125" bestFit="1" customWidth="1"/>
    <col min="19" max="19" width="44.36328125" bestFit="1" customWidth="1"/>
    <col min="20" max="20" width="35.54296875" customWidth="1"/>
    <col min="21" max="21" width="27.453125" bestFit="1" customWidth="1"/>
    <col min="22" max="22" width="30" bestFit="1" customWidth="1"/>
    <col min="23" max="23" width="33.453125" bestFit="1" customWidth="1"/>
    <col min="24" max="24" width="27.36328125" bestFit="1" customWidth="1"/>
    <col min="25" max="25" width="32.453125" bestFit="1" customWidth="1"/>
    <col min="26" max="26" width="38.36328125" bestFit="1" customWidth="1"/>
    <col min="27" max="27" width="44.36328125" bestFit="1" customWidth="1"/>
    <col min="28" max="28" width="31.54296875" bestFit="1" customWidth="1"/>
    <col min="29" max="29" width="27.453125" bestFit="1" customWidth="1"/>
    <col min="30" max="30" width="30" bestFit="1" customWidth="1"/>
    <col min="31" max="31" width="33.453125" bestFit="1" customWidth="1"/>
    <col min="32" max="34" width="27.90625" bestFit="1" customWidth="1"/>
    <col min="35" max="37" width="32.54296875" bestFit="1" customWidth="1"/>
    <col min="38" max="38" width="34" bestFit="1" customWidth="1"/>
    <col min="39" max="39" width="45" bestFit="1" customWidth="1"/>
    <col min="40" max="40" width="58.6328125" bestFit="1" customWidth="1"/>
    <col min="41" max="41" width="52.90625" bestFit="1" customWidth="1"/>
    <col min="42" max="42" width="56" bestFit="1" customWidth="1"/>
    <col min="43" max="43" width="28.08984375" bestFit="1" customWidth="1"/>
    <col min="44" max="44" width="52.54296875" bestFit="1" customWidth="1"/>
    <col min="45" max="45" width="45" bestFit="1" customWidth="1"/>
    <col min="46" max="46" width="58.6328125" bestFit="1" customWidth="1"/>
    <col min="47" max="47" width="52.90625" bestFit="1" customWidth="1"/>
    <col min="48" max="48" width="56" bestFit="1" customWidth="1"/>
    <col min="49" max="49" width="28.6328125" bestFit="1" customWidth="1"/>
    <col min="50" max="50" width="45" bestFit="1" customWidth="1"/>
    <col min="51" max="51" width="58.6328125" bestFit="1" customWidth="1"/>
    <col min="52" max="52" width="52.90625" bestFit="1" customWidth="1"/>
    <col min="53" max="53" width="56" bestFit="1" customWidth="1"/>
    <col min="54" max="54" width="28.08984375" bestFit="1" customWidth="1"/>
    <col min="55" max="55" width="47.453125" bestFit="1" customWidth="1"/>
    <col min="56" max="56" width="61.08984375" bestFit="1" customWidth="1"/>
    <col min="57" max="57" width="55.453125" bestFit="1" customWidth="1"/>
    <col min="58" max="58" width="58.6328125" bestFit="1" customWidth="1"/>
    <col min="59" max="59" width="30.54296875" bestFit="1" customWidth="1"/>
    <col min="60" max="60" width="59.08984375" bestFit="1" customWidth="1"/>
    <col min="61" max="61" width="49" bestFit="1" customWidth="1"/>
    <col min="62" max="62" width="131.36328125" bestFit="1" customWidth="1"/>
    <col min="63" max="63" width="75.36328125" bestFit="1" customWidth="1"/>
    <col min="64" max="64" width="27.36328125" bestFit="1" customWidth="1"/>
    <col min="65" max="65" width="25.453125" bestFit="1" customWidth="1"/>
    <col min="66" max="66" width="28.6328125" bestFit="1" customWidth="1"/>
    <col min="67" max="67" width="30.6328125" bestFit="1" customWidth="1"/>
    <col min="68" max="68" width="33" bestFit="1" customWidth="1"/>
    <col min="69" max="69" width="41.08984375" bestFit="1" customWidth="1"/>
    <col min="70" max="70" width="75.90625" bestFit="1" customWidth="1"/>
    <col min="71" max="71" width="24.36328125" bestFit="1" customWidth="1"/>
    <col min="72" max="72" width="21.6328125" customWidth="1"/>
    <col min="73" max="73" width="105.54296875" customWidth="1"/>
    <col min="74" max="74" width="96.36328125" customWidth="1"/>
    <col min="75" max="75" width="75.36328125" customWidth="1"/>
    <col min="76" max="76" width="27.36328125" customWidth="1"/>
    <col min="77" max="77" width="24.54296875" customWidth="1"/>
    <col min="78" max="78" width="28.6328125" customWidth="1"/>
    <col min="79" max="79" width="54.90625" customWidth="1"/>
    <col min="80" max="80" width="35.90625" customWidth="1"/>
    <col min="81" max="81" width="42.453125" customWidth="1"/>
    <col min="82" max="82" width="79.6328125" customWidth="1"/>
    <col min="83" max="83" width="21.08984375" customWidth="1"/>
    <col min="84" max="84" width="58.90625" customWidth="1"/>
    <col min="85" max="85" width="46.36328125" customWidth="1"/>
    <col min="86" max="86" width="21.6328125" customWidth="1"/>
    <col min="87" max="87" width="24.54296875" customWidth="1"/>
    <col min="88" max="88" width="42.453125" customWidth="1"/>
    <col min="89" max="89" width="40.36328125" customWidth="1"/>
    <col min="90" max="90" width="35" customWidth="1"/>
    <col min="91" max="91" width="21" customWidth="1"/>
    <col min="92" max="92" width="33.08984375" customWidth="1"/>
    <col min="93" max="93" width="24.90625" bestFit="1" customWidth="1"/>
    <col min="94" max="94" width="25.36328125" bestFit="1" customWidth="1"/>
    <col min="95" max="95" width="39.36328125" bestFit="1" customWidth="1"/>
    <col min="96" max="96" width="40.36328125" bestFit="1" customWidth="1"/>
    <col min="97" max="97" width="20.08984375" bestFit="1" customWidth="1"/>
    <col min="98" max="98" width="14.36328125" bestFit="1" customWidth="1"/>
    <col min="99" max="99" width="48.08984375" bestFit="1" customWidth="1"/>
    <col min="100" max="100" width="60.54296875" bestFit="1" customWidth="1"/>
    <col min="101" max="101" width="29.6328125" bestFit="1" customWidth="1"/>
    <col min="102" max="102" width="110.36328125" bestFit="1" customWidth="1"/>
    <col min="103" max="103" width="103.08984375" bestFit="1" customWidth="1"/>
    <col min="104" max="104" width="31.08984375" bestFit="1" customWidth="1"/>
    <col min="105" max="105" width="43.54296875" bestFit="1" customWidth="1"/>
    <col min="106" max="106" width="24.54296875" bestFit="1" customWidth="1"/>
    <col min="107" max="107" width="47.6328125" bestFit="1" customWidth="1"/>
    <col min="108" max="108" width="34.36328125" bestFit="1" customWidth="1"/>
    <col min="109" max="109" width="21" bestFit="1" customWidth="1"/>
    <col min="110" max="110" width="34.453125" bestFit="1" customWidth="1"/>
    <col min="111" max="111" width="29.36328125" bestFit="1" customWidth="1"/>
    <col min="112" max="112" width="32.90625" bestFit="1" customWidth="1"/>
  </cols>
  <sheetData>
    <row r="1" spans="1:112" ht="15" thickBot="1" x14ac:dyDescent="0.4">
      <c r="A1" s="62" t="s">
        <v>1104</v>
      </c>
      <c r="B1" s="6" t="s">
        <v>100</v>
      </c>
      <c r="C1" s="7"/>
      <c r="D1" s="7"/>
      <c r="E1" s="7"/>
      <c r="F1" s="7"/>
      <c r="G1" s="7"/>
      <c r="H1" s="7"/>
      <c r="I1" s="7"/>
      <c r="J1" s="7"/>
      <c r="K1" s="7"/>
      <c r="L1" s="7"/>
      <c r="M1" s="7"/>
      <c r="N1" s="7"/>
      <c r="O1" s="7"/>
      <c r="P1" s="7"/>
      <c r="Q1" s="7"/>
      <c r="R1" s="7"/>
      <c r="S1" s="7"/>
      <c r="T1" s="7"/>
      <c r="U1" s="7"/>
      <c r="V1" s="7"/>
      <c r="W1" s="7"/>
      <c r="X1" s="7"/>
      <c r="Y1" s="7"/>
      <c r="Z1" s="7"/>
      <c r="AA1" s="7"/>
      <c r="AB1" s="7"/>
      <c r="AC1" s="7"/>
      <c r="AD1" s="7"/>
      <c r="AE1" s="7"/>
      <c r="AF1" s="7"/>
      <c r="AG1" s="7"/>
      <c r="AH1" s="7"/>
      <c r="AI1" s="7"/>
      <c r="AJ1" s="7"/>
      <c r="AK1" s="7"/>
      <c r="AL1" s="7"/>
      <c r="AM1" s="7"/>
      <c r="AN1" s="7"/>
      <c r="AO1" s="7"/>
      <c r="AP1" s="7"/>
      <c r="AQ1" s="7"/>
      <c r="AR1" s="7"/>
      <c r="AS1" s="7"/>
      <c r="AT1" s="7"/>
      <c r="AU1" s="7"/>
      <c r="AV1" s="7"/>
      <c r="AW1" s="7"/>
      <c r="AX1" s="7"/>
      <c r="AY1" s="7"/>
      <c r="AZ1" s="7"/>
      <c r="BA1" s="7"/>
      <c r="BB1" s="7"/>
      <c r="BC1" s="7"/>
      <c r="BD1" s="7"/>
      <c r="BE1" s="7"/>
      <c r="BF1" s="7"/>
      <c r="BG1" s="7"/>
      <c r="BH1" s="8"/>
      <c r="BI1" s="9" t="s">
        <v>99</v>
      </c>
      <c r="BJ1" s="9"/>
      <c r="BK1" s="9"/>
      <c r="BL1" s="9"/>
      <c r="BM1" s="9"/>
      <c r="BN1" s="9"/>
      <c r="BO1" s="9"/>
      <c r="BP1" s="9"/>
      <c r="BQ1" s="9"/>
      <c r="BR1" s="9"/>
      <c r="BS1" s="9"/>
      <c r="BT1" s="9"/>
      <c r="BU1" s="10" t="s">
        <v>17</v>
      </c>
      <c r="BV1" s="10"/>
      <c r="BW1" s="10"/>
      <c r="BX1" s="10"/>
      <c r="BY1" s="10"/>
      <c r="BZ1" s="10"/>
      <c r="CA1" s="10"/>
      <c r="CB1" s="10"/>
      <c r="CC1" s="10"/>
      <c r="CD1" s="10"/>
      <c r="CE1" s="10"/>
      <c r="CF1" s="10"/>
      <c r="CG1" s="10"/>
      <c r="CH1" s="63" t="s">
        <v>1105</v>
      </c>
      <c r="CI1" s="64"/>
      <c r="CJ1" s="64"/>
      <c r="CK1" s="64"/>
      <c r="CL1" s="64"/>
      <c r="CM1" s="64"/>
      <c r="CN1" s="64"/>
      <c r="CO1" s="63" t="s">
        <v>1106</v>
      </c>
      <c r="CP1" s="64"/>
      <c r="CQ1" s="64"/>
      <c r="CR1" s="64"/>
      <c r="CS1" s="64"/>
      <c r="CT1" s="64"/>
      <c r="CU1" s="65" t="s">
        <v>1107</v>
      </c>
      <c r="CV1" s="65"/>
      <c r="CW1" s="65"/>
      <c r="CX1" s="65"/>
      <c r="CY1" s="65"/>
      <c r="CZ1" s="65"/>
      <c r="DA1" s="65"/>
      <c r="DB1" s="65"/>
      <c r="DC1" s="65"/>
      <c r="DD1" s="65"/>
      <c r="DE1" s="65"/>
      <c r="DF1" s="64" t="s">
        <v>1108</v>
      </c>
      <c r="DG1" s="64"/>
      <c r="DH1" s="64"/>
    </row>
    <row r="2" spans="1:112" x14ac:dyDescent="0.35">
      <c r="A2" s="36" t="s">
        <v>32</v>
      </c>
      <c r="B2" s="37" t="s">
        <v>146</v>
      </c>
      <c r="C2" s="37" t="s">
        <v>146</v>
      </c>
      <c r="D2" s="37" t="s">
        <v>795</v>
      </c>
      <c r="E2" s="37" t="s">
        <v>147</v>
      </c>
      <c r="F2" s="37" t="s">
        <v>147</v>
      </c>
      <c r="G2" s="37" t="s">
        <v>796</v>
      </c>
      <c r="H2" s="38" t="s">
        <v>148</v>
      </c>
      <c r="I2" s="38" t="s">
        <v>149</v>
      </c>
      <c r="J2" s="38" t="s">
        <v>150</v>
      </c>
      <c r="K2" s="38" t="s">
        <v>151</v>
      </c>
      <c r="L2" s="37" t="s">
        <v>144</v>
      </c>
      <c r="M2" s="37" t="s">
        <v>145</v>
      </c>
      <c r="N2" s="37" t="s">
        <v>140</v>
      </c>
      <c r="O2" s="37" t="s">
        <v>152</v>
      </c>
      <c r="P2" s="38" t="s">
        <v>148</v>
      </c>
      <c r="Q2" s="38" t="s">
        <v>149</v>
      </c>
      <c r="R2" s="38" t="s">
        <v>150</v>
      </c>
      <c r="S2" s="38" t="s">
        <v>151</v>
      </c>
      <c r="T2" s="37" t="s">
        <v>144</v>
      </c>
      <c r="U2" s="37" t="s">
        <v>145</v>
      </c>
      <c r="V2" s="37" t="s">
        <v>140</v>
      </c>
      <c r="W2" s="37" t="s">
        <v>152</v>
      </c>
      <c r="X2" s="38" t="s">
        <v>797</v>
      </c>
      <c r="Y2" s="38" t="s">
        <v>798</v>
      </c>
      <c r="Z2" s="38" t="s">
        <v>799</v>
      </c>
      <c r="AA2" s="38" t="s">
        <v>800</v>
      </c>
      <c r="AB2" s="37" t="s">
        <v>801</v>
      </c>
      <c r="AC2" s="37" t="s">
        <v>802</v>
      </c>
      <c r="AD2" s="37" t="s">
        <v>803</v>
      </c>
      <c r="AE2" s="37" t="s">
        <v>804</v>
      </c>
      <c r="AF2" s="37" t="s">
        <v>153</v>
      </c>
      <c r="AG2" s="37" t="s">
        <v>153</v>
      </c>
      <c r="AH2" s="37" t="s">
        <v>805</v>
      </c>
      <c r="AI2" s="38" t="s">
        <v>165</v>
      </c>
      <c r="AJ2" s="38" t="s">
        <v>165</v>
      </c>
      <c r="AK2" s="38" t="s">
        <v>806</v>
      </c>
      <c r="AL2" s="38" t="s">
        <v>139</v>
      </c>
      <c r="AM2" s="39" t="s">
        <v>128</v>
      </c>
      <c r="AN2" s="39" t="s">
        <v>129</v>
      </c>
      <c r="AO2" s="39" t="s">
        <v>130</v>
      </c>
      <c r="AP2" s="39" t="s">
        <v>131</v>
      </c>
      <c r="AQ2" s="39" t="s">
        <v>132</v>
      </c>
      <c r="AR2" s="39" t="s">
        <v>31</v>
      </c>
      <c r="AS2" s="39" t="s">
        <v>128</v>
      </c>
      <c r="AT2" s="39" t="s">
        <v>129</v>
      </c>
      <c r="AU2" s="39" t="s">
        <v>130</v>
      </c>
      <c r="AV2" s="39" t="s">
        <v>131</v>
      </c>
      <c r="AW2" s="39" t="s">
        <v>676</v>
      </c>
      <c r="AX2" s="39" t="s">
        <v>807</v>
      </c>
      <c r="AY2" s="39" t="s">
        <v>808</v>
      </c>
      <c r="AZ2" s="39" t="s">
        <v>809</v>
      </c>
      <c r="BA2" s="39" t="s">
        <v>810</v>
      </c>
      <c r="BB2" s="39" t="s">
        <v>811</v>
      </c>
      <c r="BC2" s="39" t="s">
        <v>133</v>
      </c>
      <c r="BD2" s="39" t="s">
        <v>134</v>
      </c>
      <c r="BE2" s="39" t="s">
        <v>135</v>
      </c>
      <c r="BF2" s="39" t="s">
        <v>136</v>
      </c>
      <c r="BG2" s="39" t="s">
        <v>137</v>
      </c>
      <c r="BH2" s="39" t="s">
        <v>138</v>
      </c>
      <c r="BI2" s="37" t="s">
        <v>25</v>
      </c>
      <c r="BJ2" s="37" t="s">
        <v>30</v>
      </c>
      <c r="BK2" s="37" t="s">
        <v>23</v>
      </c>
      <c r="BL2" s="37" t="s">
        <v>22</v>
      </c>
      <c r="BM2" s="37" t="s">
        <v>1</v>
      </c>
      <c r="BN2" s="37" t="s">
        <v>21</v>
      </c>
      <c r="BO2" s="37" t="s">
        <v>20</v>
      </c>
      <c r="BP2" s="38" t="s">
        <v>302</v>
      </c>
      <c r="BQ2" s="39" t="s">
        <v>29</v>
      </c>
      <c r="BR2" s="39" t="s">
        <v>28</v>
      </c>
      <c r="BS2" s="39" t="s">
        <v>27</v>
      </c>
      <c r="BT2" s="11" t="s">
        <v>26</v>
      </c>
      <c r="BU2" s="38" t="s">
        <v>25</v>
      </c>
      <c r="BV2" s="37" t="s">
        <v>24</v>
      </c>
      <c r="BW2" s="38" t="s">
        <v>23</v>
      </c>
      <c r="BX2" s="37" t="s">
        <v>22</v>
      </c>
      <c r="BY2" s="38" t="s">
        <v>1</v>
      </c>
      <c r="BZ2" s="38" t="s">
        <v>21</v>
      </c>
      <c r="CA2" s="38" t="s">
        <v>20</v>
      </c>
      <c r="CB2" s="38" t="s">
        <v>295</v>
      </c>
      <c r="CC2" s="39" t="s">
        <v>172</v>
      </c>
      <c r="CD2" s="39" t="s">
        <v>171</v>
      </c>
      <c r="CE2" s="39" t="s">
        <v>337</v>
      </c>
      <c r="CF2" s="39" t="s">
        <v>101</v>
      </c>
      <c r="CG2" s="39" t="s">
        <v>19</v>
      </c>
      <c r="CH2" s="40" t="s">
        <v>18</v>
      </c>
      <c r="CI2" s="41" t="s">
        <v>16</v>
      </c>
      <c r="CJ2" s="42" t="s">
        <v>15</v>
      </c>
      <c r="CK2" s="42" t="s">
        <v>11</v>
      </c>
      <c r="CL2" s="42" t="s">
        <v>14</v>
      </c>
      <c r="CM2" s="42" t="s">
        <v>13</v>
      </c>
      <c r="CN2" s="43" t="s">
        <v>9</v>
      </c>
      <c r="CO2" s="40" t="s">
        <v>17</v>
      </c>
      <c r="CP2" s="44" t="s">
        <v>12</v>
      </c>
      <c r="CQ2" s="42" t="s">
        <v>812</v>
      </c>
      <c r="CR2" s="42" t="s">
        <v>11</v>
      </c>
      <c r="CS2" s="42" t="s">
        <v>10</v>
      </c>
      <c r="CT2" s="43" t="s">
        <v>9</v>
      </c>
      <c r="CU2" s="45" t="s">
        <v>8</v>
      </c>
      <c r="CV2" s="45" t="s">
        <v>7</v>
      </c>
      <c r="CW2" s="45" t="s">
        <v>6</v>
      </c>
      <c r="CX2" s="45" t="s">
        <v>5</v>
      </c>
      <c r="CY2" s="45" t="s">
        <v>4</v>
      </c>
      <c r="CZ2" s="45" t="s">
        <v>3</v>
      </c>
      <c r="DA2" s="45" t="s">
        <v>2</v>
      </c>
      <c r="DB2" s="45" t="s">
        <v>1</v>
      </c>
      <c r="DC2" s="46" t="s">
        <v>36</v>
      </c>
      <c r="DD2" s="47" t="s">
        <v>37</v>
      </c>
      <c r="DE2" s="48" t="s">
        <v>0</v>
      </c>
      <c r="DF2" s="49" t="s">
        <v>33</v>
      </c>
      <c r="DG2" s="49" t="s">
        <v>34</v>
      </c>
      <c r="DH2" s="49" t="s">
        <v>665</v>
      </c>
    </row>
    <row r="3" spans="1:112" ht="15.75" customHeight="1" x14ac:dyDescent="0.35">
      <c r="A3" s="12" t="s">
        <v>346</v>
      </c>
      <c r="B3" s="12" t="s">
        <v>361</v>
      </c>
      <c r="C3" s="12">
        <v>0</v>
      </c>
      <c r="D3" s="12">
        <v>0</v>
      </c>
      <c r="E3" s="12" t="s">
        <v>813</v>
      </c>
      <c r="F3" s="12">
        <v>0</v>
      </c>
      <c r="G3" s="12">
        <v>0</v>
      </c>
      <c r="H3" s="28" t="s">
        <v>291</v>
      </c>
      <c r="I3" s="28">
        <v>5</v>
      </c>
      <c r="J3" s="28">
        <v>15</v>
      </c>
      <c r="K3" s="28">
        <v>1</v>
      </c>
      <c r="L3" s="12" t="s">
        <v>650</v>
      </c>
      <c r="M3" s="12"/>
      <c r="N3" s="12"/>
      <c r="O3" s="12"/>
      <c r="P3" s="12">
        <v>0</v>
      </c>
      <c r="Q3" s="12">
        <v>0</v>
      </c>
      <c r="R3" s="12">
        <v>0</v>
      </c>
      <c r="S3" s="12">
        <v>0</v>
      </c>
      <c r="T3" s="12">
        <v>0</v>
      </c>
      <c r="U3" s="12">
        <v>0</v>
      </c>
      <c r="V3" s="12">
        <v>0</v>
      </c>
      <c r="W3" s="12">
        <v>0</v>
      </c>
      <c r="X3" s="12">
        <v>0</v>
      </c>
      <c r="Y3" s="12">
        <v>0</v>
      </c>
      <c r="Z3" s="12">
        <v>0</v>
      </c>
      <c r="AA3" s="12">
        <v>0</v>
      </c>
      <c r="AB3" s="12">
        <v>0</v>
      </c>
      <c r="AC3" s="12">
        <v>0</v>
      </c>
      <c r="AD3" s="12">
        <v>0</v>
      </c>
      <c r="AE3" s="12">
        <v>0</v>
      </c>
      <c r="AF3" s="12" t="s">
        <v>1083</v>
      </c>
      <c r="AG3" s="12">
        <v>0</v>
      </c>
      <c r="AH3" s="12">
        <v>0</v>
      </c>
      <c r="AI3" s="12">
        <v>0</v>
      </c>
      <c r="AJ3" s="12">
        <v>0</v>
      </c>
      <c r="AK3" s="12">
        <v>0</v>
      </c>
      <c r="AL3" s="12">
        <f t="shared" ref="AL3:AL18" si="0">SUM(AI3:AK3)</f>
        <v>0</v>
      </c>
      <c r="AM3" s="15">
        <v>51000</v>
      </c>
      <c r="AN3" s="15">
        <v>0</v>
      </c>
      <c r="AO3" s="15">
        <v>0</v>
      </c>
      <c r="AP3" s="15">
        <v>0</v>
      </c>
      <c r="AQ3" s="16">
        <v>9.25</v>
      </c>
      <c r="AR3" s="16">
        <v>325</v>
      </c>
      <c r="AS3" s="12">
        <v>0</v>
      </c>
      <c r="AT3" s="12">
        <v>0</v>
      </c>
      <c r="AU3" s="12">
        <v>0</v>
      </c>
      <c r="AV3" s="12">
        <v>0</v>
      </c>
      <c r="AW3" s="12">
        <v>0</v>
      </c>
      <c r="AX3" s="12">
        <v>0</v>
      </c>
      <c r="AY3" s="12">
        <v>0</v>
      </c>
      <c r="AZ3" s="12">
        <v>0</v>
      </c>
      <c r="BA3" s="12">
        <v>0</v>
      </c>
      <c r="BB3" s="12">
        <v>0</v>
      </c>
      <c r="BC3" s="13">
        <f t="shared" ref="BC3:BF8" si="1">SUM(AM3,AS3,AX3)</f>
        <v>51000</v>
      </c>
      <c r="BD3" s="14">
        <f t="shared" si="1"/>
        <v>0</v>
      </c>
      <c r="BE3" s="13">
        <f t="shared" si="1"/>
        <v>0</v>
      </c>
      <c r="BF3" s="15">
        <f t="shared" si="1"/>
        <v>0</v>
      </c>
      <c r="BG3" s="16">
        <f t="shared" ref="BG3:BG18" si="2">(AS3*AW3+AX3*BB3+AQ3*AM3)/BC3</f>
        <v>9.25</v>
      </c>
      <c r="BH3" s="16">
        <v>994</v>
      </c>
      <c r="BI3" s="12" t="s">
        <v>610</v>
      </c>
      <c r="BJ3" s="12" t="s">
        <v>814</v>
      </c>
      <c r="BK3" s="12" t="s">
        <v>611</v>
      </c>
      <c r="BL3" s="12">
        <v>9851051185</v>
      </c>
      <c r="BM3" s="12" t="s">
        <v>815</v>
      </c>
      <c r="BN3" s="12" t="s">
        <v>767</v>
      </c>
      <c r="BO3" s="12" t="s">
        <v>112</v>
      </c>
      <c r="BP3" s="12">
        <v>0</v>
      </c>
      <c r="BQ3" s="50">
        <v>8</v>
      </c>
      <c r="BR3" s="15">
        <v>8</v>
      </c>
      <c r="BS3" s="15">
        <v>7</v>
      </c>
      <c r="BT3" s="17">
        <v>100</v>
      </c>
      <c r="BU3" s="12" t="s">
        <v>610</v>
      </c>
      <c r="BV3" s="12" t="s">
        <v>814</v>
      </c>
      <c r="BW3" s="12" t="s">
        <v>611</v>
      </c>
      <c r="BX3" s="12">
        <v>9851051185</v>
      </c>
      <c r="BY3" s="12" t="s">
        <v>815</v>
      </c>
      <c r="BZ3" s="12" t="s">
        <v>767</v>
      </c>
      <c r="CA3" s="12" t="s">
        <v>112</v>
      </c>
      <c r="CB3" s="12" t="s">
        <v>112</v>
      </c>
      <c r="CC3" s="17">
        <v>890.75</v>
      </c>
      <c r="CD3" s="12">
        <v>891</v>
      </c>
      <c r="CE3" s="18">
        <v>10</v>
      </c>
      <c r="CF3" s="17">
        <v>11000</v>
      </c>
      <c r="CG3" s="18">
        <v>1.1000000000000001</v>
      </c>
      <c r="CH3" s="19" t="s">
        <v>340</v>
      </c>
      <c r="CI3" s="12">
        <v>15000</v>
      </c>
      <c r="CJ3" s="18">
        <f>+CI3/9.5</f>
        <v>1578.9473684210527</v>
      </c>
      <c r="CK3" s="18">
        <f>15.44/11000*15000</f>
        <v>21.054545454545455</v>
      </c>
      <c r="CL3" s="18">
        <f>+CJ3/18</f>
        <v>87.719298245614041</v>
      </c>
      <c r="CM3" s="12">
        <v>1014</v>
      </c>
      <c r="CN3" s="12" t="s">
        <v>108</v>
      </c>
      <c r="CO3" s="19" t="s">
        <v>340</v>
      </c>
      <c r="CP3" s="12">
        <v>7000</v>
      </c>
      <c r="CQ3" s="20">
        <f>+CP3/5.5*16</f>
        <v>20363.636363636364</v>
      </c>
      <c r="CR3" s="18">
        <f>15.44/11000*7000</f>
        <v>9.8254545454545461</v>
      </c>
      <c r="CS3" s="12">
        <v>1014</v>
      </c>
      <c r="CT3" s="12" t="s">
        <v>108</v>
      </c>
      <c r="CU3" s="12" t="s">
        <v>360</v>
      </c>
      <c r="CV3" s="12" t="s">
        <v>358</v>
      </c>
      <c r="CW3" s="12">
        <v>9851051185</v>
      </c>
      <c r="CX3" s="12" t="s">
        <v>357</v>
      </c>
      <c r="CY3" s="12" t="s">
        <v>359</v>
      </c>
      <c r="CZ3" s="12">
        <f>1016-51</f>
        <v>965</v>
      </c>
      <c r="DA3" s="12">
        <v>0</v>
      </c>
      <c r="DB3" s="12" t="s">
        <v>816</v>
      </c>
      <c r="DC3" s="12">
        <v>100</v>
      </c>
      <c r="DD3" s="12">
        <v>10</v>
      </c>
      <c r="DE3" s="12">
        <v>10000</v>
      </c>
      <c r="DF3" s="21" t="str">
        <f t="shared" ref="DF3:DF18" si="3">"Photos\New\"&amp;$A3&amp;".pptx"</f>
        <v>Photos\New\HOWRAH.pptx</v>
      </c>
      <c r="DG3" s="21" t="str">
        <f t="shared" ref="DG3:DG18" si="4">"Videos\New\"&amp;$A3</f>
        <v>Videos\New\HOWRAH</v>
      </c>
      <c r="DH3" s="21" t="str">
        <f t="shared" ref="DH3:DH18" si="5">"Manpower\"&amp;$A3&amp;".pptx"</f>
        <v>Manpower\HOWRAH.pptx</v>
      </c>
    </row>
    <row r="4" spans="1:112" ht="15.75" customHeight="1" x14ac:dyDescent="0.35">
      <c r="A4" s="12" t="s">
        <v>327</v>
      </c>
      <c r="B4" s="12" t="s">
        <v>626</v>
      </c>
      <c r="C4" s="12">
        <v>0</v>
      </c>
      <c r="D4" s="12">
        <v>0</v>
      </c>
      <c r="E4" s="12" t="s">
        <v>817</v>
      </c>
      <c r="F4" s="12">
        <v>0</v>
      </c>
      <c r="G4" s="12">
        <v>0</v>
      </c>
      <c r="H4" s="28" t="s">
        <v>328</v>
      </c>
      <c r="I4" s="28">
        <v>4</v>
      </c>
      <c r="J4" s="28">
        <v>14</v>
      </c>
      <c r="K4" s="28">
        <v>8</v>
      </c>
      <c r="L4" s="12" t="s">
        <v>329</v>
      </c>
      <c r="M4" s="12" t="s">
        <v>818</v>
      </c>
      <c r="N4" s="12" t="s">
        <v>819</v>
      </c>
      <c r="O4" s="12" t="s">
        <v>820</v>
      </c>
      <c r="P4" s="12">
        <v>0</v>
      </c>
      <c r="Q4" s="12">
        <v>0</v>
      </c>
      <c r="R4" s="12">
        <v>0</v>
      </c>
      <c r="S4" s="12">
        <v>0</v>
      </c>
      <c r="T4" s="12">
        <v>0</v>
      </c>
      <c r="U4" s="12">
        <v>0</v>
      </c>
      <c r="V4" s="12">
        <v>0</v>
      </c>
      <c r="W4" s="12">
        <v>0</v>
      </c>
      <c r="X4" s="12">
        <v>0</v>
      </c>
      <c r="Y4" s="12">
        <v>0</v>
      </c>
      <c r="Z4" s="12">
        <v>0</v>
      </c>
      <c r="AA4" s="12">
        <v>0</v>
      </c>
      <c r="AB4" s="12">
        <v>0</v>
      </c>
      <c r="AC4" s="12">
        <v>0</v>
      </c>
      <c r="AD4" s="12">
        <v>0</v>
      </c>
      <c r="AE4" s="12">
        <v>0</v>
      </c>
      <c r="AF4" s="12" t="s">
        <v>1083</v>
      </c>
      <c r="AG4" s="12">
        <v>0</v>
      </c>
      <c r="AH4" s="12">
        <v>0</v>
      </c>
      <c r="AI4" s="12">
        <v>9.65</v>
      </c>
      <c r="AJ4" s="12">
        <v>0</v>
      </c>
      <c r="AK4" s="12">
        <v>0</v>
      </c>
      <c r="AL4" s="12">
        <f t="shared" si="0"/>
        <v>9.65</v>
      </c>
      <c r="AM4" s="22">
        <v>16800</v>
      </c>
      <c r="AN4" s="22">
        <v>0</v>
      </c>
      <c r="AO4" s="22">
        <v>1100</v>
      </c>
      <c r="AP4" s="22">
        <v>0</v>
      </c>
      <c r="AQ4" s="16">
        <v>9.5</v>
      </c>
      <c r="AR4" s="16">
        <v>350</v>
      </c>
      <c r="AS4" s="12">
        <v>0</v>
      </c>
      <c r="AT4" s="12">
        <v>0</v>
      </c>
      <c r="AU4" s="12">
        <v>0</v>
      </c>
      <c r="AV4" s="12">
        <v>0</v>
      </c>
      <c r="AW4" s="12">
        <v>0</v>
      </c>
      <c r="AX4" s="12">
        <v>0</v>
      </c>
      <c r="AY4" s="12">
        <v>0</v>
      </c>
      <c r="AZ4" s="12">
        <v>0</v>
      </c>
      <c r="BA4" s="12">
        <v>0</v>
      </c>
      <c r="BB4" s="12">
        <v>0</v>
      </c>
      <c r="BC4" s="13">
        <f t="shared" si="1"/>
        <v>16800</v>
      </c>
      <c r="BD4" s="13">
        <f t="shared" si="1"/>
        <v>0</v>
      </c>
      <c r="BE4" s="13">
        <f t="shared" si="1"/>
        <v>1100</v>
      </c>
      <c r="BF4" s="22">
        <f t="shared" si="1"/>
        <v>0</v>
      </c>
      <c r="BG4" s="16">
        <f t="shared" si="2"/>
        <v>9.5</v>
      </c>
      <c r="BH4" s="16">
        <f>+AR4</f>
        <v>350</v>
      </c>
      <c r="BI4" s="12" t="s">
        <v>627</v>
      </c>
      <c r="BJ4" s="12" t="s">
        <v>817</v>
      </c>
      <c r="BK4" s="12" t="s">
        <v>583</v>
      </c>
      <c r="BL4" s="12">
        <v>9554455017</v>
      </c>
      <c r="BM4" s="12" t="s">
        <v>821</v>
      </c>
      <c r="BN4" s="12" t="s">
        <v>677</v>
      </c>
      <c r="BO4" s="12" t="s">
        <v>1083</v>
      </c>
      <c r="BP4" s="12">
        <v>0</v>
      </c>
      <c r="BQ4" s="51">
        <v>1000</v>
      </c>
      <c r="BR4" s="22">
        <v>1000</v>
      </c>
      <c r="BS4" s="22">
        <v>7.25</v>
      </c>
      <c r="BT4" s="17">
        <v>125</v>
      </c>
      <c r="BU4" s="12" t="s">
        <v>628</v>
      </c>
      <c r="BV4" s="12" t="s">
        <v>817</v>
      </c>
      <c r="BW4" s="12"/>
      <c r="BX4" s="12"/>
      <c r="BY4" s="12" t="s">
        <v>821</v>
      </c>
      <c r="BZ4" s="12" t="s">
        <v>677</v>
      </c>
      <c r="CA4" s="12" t="s">
        <v>1083</v>
      </c>
      <c r="CB4" s="12">
        <v>0</v>
      </c>
      <c r="CC4" s="17">
        <f>15000/5.45</f>
        <v>2752.2935779816512</v>
      </c>
      <c r="CD4" s="17">
        <v>4548</v>
      </c>
      <c r="CE4" s="18">
        <v>10.25</v>
      </c>
      <c r="CF4" s="12">
        <v>11010</v>
      </c>
      <c r="CG4" s="18">
        <v>1.2</v>
      </c>
      <c r="CH4" s="19" t="s">
        <v>340</v>
      </c>
      <c r="CI4" s="12">
        <v>0</v>
      </c>
      <c r="CJ4" s="12">
        <v>0</v>
      </c>
      <c r="CK4" s="12" t="s">
        <v>142</v>
      </c>
      <c r="CL4" s="12">
        <v>0</v>
      </c>
      <c r="CM4" s="12" t="s">
        <v>142</v>
      </c>
      <c r="CN4" s="12" t="s">
        <v>142</v>
      </c>
      <c r="CO4" s="19" t="s">
        <v>340</v>
      </c>
      <c r="CP4" s="12">
        <v>0</v>
      </c>
      <c r="CQ4" s="12">
        <v>0</v>
      </c>
      <c r="CR4" s="12">
        <v>0</v>
      </c>
      <c r="CS4" s="12">
        <v>0</v>
      </c>
      <c r="CT4" s="12">
        <v>0</v>
      </c>
      <c r="CU4" s="12" t="s">
        <v>582</v>
      </c>
      <c r="CV4" s="12" t="s">
        <v>583</v>
      </c>
      <c r="CW4" s="12">
        <v>9554455017</v>
      </c>
      <c r="CX4" s="12" t="s">
        <v>822</v>
      </c>
      <c r="CY4" s="12" t="s">
        <v>584</v>
      </c>
      <c r="CZ4" s="12">
        <v>1017</v>
      </c>
      <c r="DA4" s="12">
        <v>0</v>
      </c>
      <c r="DB4" s="12" t="s">
        <v>678</v>
      </c>
      <c r="DC4" s="12">
        <v>101</v>
      </c>
      <c r="DD4" s="12">
        <v>11</v>
      </c>
      <c r="DE4" s="12">
        <v>11000</v>
      </c>
      <c r="DF4" s="21" t="str">
        <f t="shared" si="3"/>
        <v>Photos\New\RANCHI.pptx</v>
      </c>
      <c r="DG4" s="21" t="str">
        <f t="shared" si="4"/>
        <v>Videos\New\RANCHI</v>
      </c>
      <c r="DH4" s="21" t="str">
        <f t="shared" si="5"/>
        <v>Manpower\RANCHI.pptx</v>
      </c>
    </row>
    <row r="5" spans="1:112" ht="15.75" customHeight="1" x14ac:dyDescent="0.35">
      <c r="A5" s="12" t="s">
        <v>312</v>
      </c>
      <c r="B5" s="12" t="s">
        <v>306</v>
      </c>
      <c r="C5" s="12">
        <v>0</v>
      </c>
      <c r="D5" s="12">
        <v>0</v>
      </c>
      <c r="E5" s="12" t="s">
        <v>308</v>
      </c>
      <c r="F5" s="12">
        <v>0</v>
      </c>
      <c r="G5" s="12">
        <v>0</v>
      </c>
      <c r="H5" s="28" t="s">
        <v>291</v>
      </c>
      <c r="I5" s="28">
        <v>5</v>
      </c>
      <c r="J5" s="28">
        <v>15</v>
      </c>
      <c r="K5" s="28">
        <v>4</v>
      </c>
      <c r="L5" s="12" t="s">
        <v>307</v>
      </c>
      <c r="M5" s="12">
        <v>9601174546</v>
      </c>
      <c r="N5" s="12" t="s">
        <v>679</v>
      </c>
      <c r="O5" s="12" t="s">
        <v>680</v>
      </c>
      <c r="P5" s="12">
        <v>0</v>
      </c>
      <c r="Q5" s="12">
        <v>0</v>
      </c>
      <c r="R5" s="12">
        <v>0</v>
      </c>
      <c r="S5" s="12">
        <v>0</v>
      </c>
      <c r="T5" s="12">
        <v>0</v>
      </c>
      <c r="U5" s="12">
        <v>0</v>
      </c>
      <c r="V5" s="12">
        <v>0</v>
      </c>
      <c r="W5" s="12">
        <v>0</v>
      </c>
      <c r="X5" s="12">
        <v>0</v>
      </c>
      <c r="Y5" s="12">
        <v>0</v>
      </c>
      <c r="Z5" s="12">
        <v>0</v>
      </c>
      <c r="AA5" s="12">
        <v>0</v>
      </c>
      <c r="AB5" s="12">
        <v>0</v>
      </c>
      <c r="AC5" s="12">
        <v>0</v>
      </c>
      <c r="AD5" s="12">
        <v>0</v>
      </c>
      <c r="AE5" s="12">
        <v>0</v>
      </c>
      <c r="AF5" s="12" t="s">
        <v>1084</v>
      </c>
      <c r="AG5" s="12">
        <v>0</v>
      </c>
      <c r="AH5" s="12">
        <v>0</v>
      </c>
      <c r="AI5" s="12">
        <v>0</v>
      </c>
      <c r="AJ5" s="12">
        <v>0</v>
      </c>
      <c r="AK5" s="12">
        <v>0</v>
      </c>
      <c r="AL5" s="12">
        <f t="shared" si="0"/>
        <v>0</v>
      </c>
      <c r="AM5" s="22">
        <f>7000+5000+15000/8+1746</f>
        <v>15621</v>
      </c>
      <c r="AN5" s="22">
        <v>5000</v>
      </c>
      <c r="AO5" s="22">
        <v>1000</v>
      </c>
      <c r="AP5" s="22">
        <v>581</v>
      </c>
      <c r="AQ5" s="16">
        <v>9.75</v>
      </c>
      <c r="AR5" s="16">
        <v>375</v>
      </c>
      <c r="AS5" s="12">
        <v>0</v>
      </c>
      <c r="AT5" s="12">
        <v>0</v>
      </c>
      <c r="AU5" s="12">
        <v>0</v>
      </c>
      <c r="AV5" s="12">
        <v>0</v>
      </c>
      <c r="AW5" s="12">
        <v>0</v>
      </c>
      <c r="AX5" s="12">
        <v>0</v>
      </c>
      <c r="AY5" s="12">
        <v>0</v>
      </c>
      <c r="AZ5" s="12">
        <v>0</v>
      </c>
      <c r="BA5" s="12">
        <v>0</v>
      </c>
      <c r="BB5" s="12">
        <v>0</v>
      </c>
      <c r="BC5" s="13">
        <f t="shared" si="1"/>
        <v>15621</v>
      </c>
      <c r="BD5" s="13">
        <f t="shared" si="1"/>
        <v>5000</v>
      </c>
      <c r="BE5" s="13">
        <f t="shared" si="1"/>
        <v>1000</v>
      </c>
      <c r="BF5" s="22">
        <f t="shared" si="1"/>
        <v>581</v>
      </c>
      <c r="BG5" s="16">
        <f t="shared" si="2"/>
        <v>9.75</v>
      </c>
      <c r="BH5" s="16">
        <f>+AR5</f>
        <v>375</v>
      </c>
      <c r="BI5" s="12" t="s">
        <v>306</v>
      </c>
      <c r="BJ5" s="12" t="s">
        <v>308</v>
      </c>
      <c r="BK5" s="12" t="s">
        <v>307</v>
      </c>
      <c r="BL5" s="12">
        <v>9601174546</v>
      </c>
      <c r="BM5" s="12" t="s">
        <v>823</v>
      </c>
      <c r="BN5" s="12" t="s">
        <v>824</v>
      </c>
      <c r="BO5" s="12" t="s">
        <v>1085</v>
      </c>
      <c r="BP5" s="12">
        <v>0</v>
      </c>
      <c r="BQ5" s="51">
        <v>5000</v>
      </c>
      <c r="BR5" s="22">
        <v>5000</v>
      </c>
      <c r="BS5" s="22">
        <v>7.5</v>
      </c>
      <c r="BT5" s="17">
        <v>150</v>
      </c>
      <c r="BU5" s="12" t="s">
        <v>306</v>
      </c>
      <c r="BV5" s="12" t="s">
        <v>308</v>
      </c>
      <c r="BW5" s="12" t="s">
        <v>307</v>
      </c>
      <c r="BX5" s="12">
        <v>9601174546</v>
      </c>
      <c r="BY5" s="12" t="s">
        <v>823</v>
      </c>
      <c r="BZ5" s="12" t="s">
        <v>824</v>
      </c>
      <c r="CA5" s="12" t="s">
        <v>1086</v>
      </c>
      <c r="CB5" s="12">
        <v>0</v>
      </c>
      <c r="CC5" s="17">
        <f>15000/5.45</f>
        <v>2752.2935779816512</v>
      </c>
      <c r="CD5" s="17">
        <f>CC5</f>
        <v>2752.2935779816512</v>
      </c>
      <c r="CE5" s="18">
        <v>10.5</v>
      </c>
      <c r="CF5" s="17">
        <v>11020</v>
      </c>
      <c r="CG5" s="12">
        <v>1.3</v>
      </c>
      <c r="CH5" s="19" t="s">
        <v>340</v>
      </c>
      <c r="CI5" s="12">
        <v>0</v>
      </c>
      <c r="CJ5" s="12">
        <v>0</v>
      </c>
      <c r="CK5" s="12" t="s">
        <v>142</v>
      </c>
      <c r="CL5" s="12">
        <v>0</v>
      </c>
      <c r="CM5" s="12" t="s">
        <v>142</v>
      </c>
      <c r="CN5" s="12" t="s">
        <v>142</v>
      </c>
      <c r="CO5" s="19" t="s">
        <v>340</v>
      </c>
      <c r="CP5" s="12">
        <v>0</v>
      </c>
      <c r="CQ5" s="12">
        <v>0</v>
      </c>
      <c r="CR5" s="12">
        <v>0</v>
      </c>
      <c r="CS5" s="12">
        <v>0</v>
      </c>
      <c r="CT5" s="12">
        <v>0</v>
      </c>
      <c r="CU5" s="12" t="s">
        <v>303</v>
      </c>
      <c r="CV5" s="12" t="s">
        <v>304</v>
      </c>
      <c r="CW5" s="12">
        <v>8150917700</v>
      </c>
      <c r="CX5" s="12" t="s">
        <v>825</v>
      </c>
      <c r="CY5" s="12" t="s">
        <v>305</v>
      </c>
      <c r="CZ5" s="12">
        <f>1018-19</f>
        <v>999</v>
      </c>
      <c r="DA5" s="12">
        <v>0</v>
      </c>
      <c r="DB5" s="12" t="s">
        <v>826</v>
      </c>
      <c r="DC5" s="12">
        <v>102</v>
      </c>
      <c r="DD5" s="12">
        <v>12</v>
      </c>
      <c r="DE5" s="12">
        <v>12000</v>
      </c>
      <c r="DF5" s="21" t="str">
        <f t="shared" si="3"/>
        <v>Photos\New\GHAZIABAD.pptx</v>
      </c>
      <c r="DG5" s="21" t="str">
        <f t="shared" si="4"/>
        <v>Videos\New\GHAZIABAD</v>
      </c>
      <c r="DH5" s="21" t="str">
        <f t="shared" si="5"/>
        <v>Manpower\GHAZIABAD.pptx</v>
      </c>
    </row>
    <row r="6" spans="1:112" ht="15.75" customHeight="1" x14ac:dyDescent="0.35">
      <c r="A6" s="12" t="s">
        <v>267</v>
      </c>
      <c r="B6" s="12" t="s">
        <v>648</v>
      </c>
      <c r="C6" s="12">
        <v>0</v>
      </c>
      <c r="D6" s="12">
        <v>0</v>
      </c>
      <c r="E6" s="12" t="s">
        <v>827</v>
      </c>
      <c r="F6" s="12">
        <v>0</v>
      </c>
      <c r="G6" s="12">
        <v>0</v>
      </c>
      <c r="H6" s="28" t="s">
        <v>649</v>
      </c>
      <c r="I6" s="28">
        <v>4</v>
      </c>
      <c r="J6" s="28">
        <v>55</v>
      </c>
      <c r="K6" s="28">
        <v>11</v>
      </c>
      <c r="L6" s="12" t="s">
        <v>648</v>
      </c>
      <c r="M6" s="12">
        <v>9511081000</v>
      </c>
      <c r="N6" s="12" t="s">
        <v>828</v>
      </c>
      <c r="O6" s="12" t="s">
        <v>681</v>
      </c>
      <c r="P6" s="12">
        <v>0</v>
      </c>
      <c r="Q6" s="12">
        <v>0</v>
      </c>
      <c r="R6" s="12">
        <v>0</v>
      </c>
      <c r="S6" s="12">
        <v>0</v>
      </c>
      <c r="T6" s="12">
        <v>0</v>
      </c>
      <c r="U6" s="12">
        <v>0</v>
      </c>
      <c r="V6" s="12">
        <v>0</v>
      </c>
      <c r="W6" s="12">
        <v>0</v>
      </c>
      <c r="X6" s="12">
        <v>0</v>
      </c>
      <c r="Y6" s="12">
        <v>0</v>
      </c>
      <c r="Z6" s="12">
        <v>0</v>
      </c>
      <c r="AA6" s="12">
        <v>0</v>
      </c>
      <c r="AB6" s="12">
        <v>0</v>
      </c>
      <c r="AC6" s="12">
        <v>0</v>
      </c>
      <c r="AD6" s="12">
        <v>0</v>
      </c>
      <c r="AE6" s="12">
        <v>0</v>
      </c>
      <c r="AF6" s="12" t="s">
        <v>1087</v>
      </c>
      <c r="AG6" s="12">
        <v>0</v>
      </c>
      <c r="AH6" s="12">
        <v>0</v>
      </c>
      <c r="AI6" s="12">
        <v>15.97</v>
      </c>
      <c r="AJ6" s="12">
        <v>0</v>
      </c>
      <c r="AK6" s="12">
        <v>0</v>
      </c>
      <c r="AL6" s="12">
        <f t="shared" si="0"/>
        <v>15.97</v>
      </c>
      <c r="AM6" s="22">
        <v>19545</v>
      </c>
      <c r="AN6" s="22">
        <v>0</v>
      </c>
      <c r="AO6" s="22">
        <v>0</v>
      </c>
      <c r="AP6" s="22">
        <v>0</v>
      </c>
      <c r="AQ6" s="16">
        <v>10</v>
      </c>
      <c r="AR6" s="16">
        <v>400</v>
      </c>
      <c r="AS6" s="12">
        <v>0</v>
      </c>
      <c r="AT6" s="12">
        <v>0</v>
      </c>
      <c r="AU6" s="12">
        <v>0</v>
      </c>
      <c r="AV6" s="12">
        <v>0</v>
      </c>
      <c r="AW6" s="12">
        <v>0</v>
      </c>
      <c r="AX6" s="12">
        <v>0</v>
      </c>
      <c r="AY6" s="12">
        <v>0</v>
      </c>
      <c r="AZ6" s="12">
        <v>0</v>
      </c>
      <c r="BA6" s="12">
        <v>0</v>
      </c>
      <c r="BB6" s="12">
        <v>0</v>
      </c>
      <c r="BC6" s="13">
        <f t="shared" si="1"/>
        <v>19545</v>
      </c>
      <c r="BD6" s="14">
        <f t="shared" si="1"/>
        <v>0</v>
      </c>
      <c r="BE6" s="13">
        <f t="shared" si="1"/>
        <v>0</v>
      </c>
      <c r="BF6" s="22">
        <f t="shared" si="1"/>
        <v>0</v>
      </c>
      <c r="BG6" s="16">
        <f t="shared" si="2"/>
        <v>10</v>
      </c>
      <c r="BH6" s="16">
        <v>1175</v>
      </c>
      <c r="BI6" s="12">
        <v>0</v>
      </c>
      <c r="BJ6" s="12">
        <v>0</v>
      </c>
      <c r="BK6" s="12">
        <v>0</v>
      </c>
      <c r="BL6" s="12">
        <v>0</v>
      </c>
      <c r="BM6" s="12">
        <v>0</v>
      </c>
      <c r="BN6" s="12">
        <v>0</v>
      </c>
      <c r="BO6" s="12">
        <v>0</v>
      </c>
      <c r="BP6" s="12">
        <v>0</v>
      </c>
      <c r="BQ6" s="51">
        <v>0</v>
      </c>
      <c r="BR6" s="22">
        <v>0</v>
      </c>
      <c r="BS6" s="22">
        <v>7.75</v>
      </c>
      <c r="BT6" s="17">
        <v>175</v>
      </c>
      <c r="BU6" s="12" t="s">
        <v>243</v>
      </c>
      <c r="BV6" s="23" t="s">
        <v>682</v>
      </c>
      <c r="BW6" s="12" t="s">
        <v>244</v>
      </c>
      <c r="BX6" s="23">
        <v>9004575419</v>
      </c>
      <c r="BY6" s="12" t="s">
        <v>829</v>
      </c>
      <c r="BZ6" s="12" t="s">
        <v>830</v>
      </c>
      <c r="CA6" s="12" t="s">
        <v>1088</v>
      </c>
      <c r="CB6" s="12" t="s">
        <v>112</v>
      </c>
      <c r="CC6" s="12">
        <v>5000</v>
      </c>
      <c r="CD6" s="12">
        <v>5000</v>
      </c>
      <c r="CE6" s="18">
        <v>10.75</v>
      </c>
      <c r="CF6" s="17">
        <v>11030</v>
      </c>
      <c r="CG6" s="18">
        <v>1.4</v>
      </c>
      <c r="CH6" s="19" t="s">
        <v>340</v>
      </c>
      <c r="CI6" s="12">
        <v>1500</v>
      </c>
      <c r="CJ6" s="18">
        <f>+CI6/9.5</f>
        <v>157.89473684210526</v>
      </c>
      <c r="CK6" s="18">
        <v>64000</v>
      </c>
      <c r="CL6" s="18">
        <f>+CJ6/18</f>
        <v>8.7719298245614041</v>
      </c>
      <c r="CM6" s="12">
        <v>1008</v>
      </c>
      <c r="CN6" s="12" t="s">
        <v>108</v>
      </c>
      <c r="CO6" s="19" t="s">
        <v>340</v>
      </c>
      <c r="CP6" s="12">
        <v>0</v>
      </c>
      <c r="CQ6" s="12">
        <v>0</v>
      </c>
      <c r="CR6" s="12">
        <v>0</v>
      </c>
      <c r="CS6" s="12">
        <v>0</v>
      </c>
      <c r="CT6" s="12">
        <v>0</v>
      </c>
      <c r="CU6" s="12" t="s">
        <v>589</v>
      </c>
      <c r="CV6" s="12" t="s">
        <v>600</v>
      </c>
      <c r="CW6" s="12">
        <v>8888555555</v>
      </c>
      <c r="CX6" s="12" t="s">
        <v>683</v>
      </c>
      <c r="CY6" s="12" t="s">
        <v>601</v>
      </c>
      <c r="CZ6" s="12">
        <v>11</v>
      </c>
      <c r="DA6" s="12">
        <v>0</v>
      </c>
      <c r="DB6" s="12" t="s">
        <v>831</v>
      </c>
      <c r="DC6" s="12">
        <v>103</v>
      </c>
      <c r="DD6" s="12">
        <v>13</v>
      </c>
      <c r="DE6" s="12">
        <v>13000</v>
      </c>
      <c r="DF6" s="21" t="str">
        <f t="shared" si="3"/>
        <v>Photos\New\THANE.pptx</v>
      </c>
      <c r="DG6" s="21" t="str">
        <f t="shared" si="4"/>
        <v>Videos\New\THANE</v>
      </c>
      <c r="DH6" s="21" t="str">
        <f t="shared" si="5"/>
        <v>Manpower\THANE.pptx</v>
      </c>
    </row>
    <row r="7" spans="1:112" x14ac:dyDescent="0.35">
      <c r="A7" s="12" t="s">
        <v>269</v>
      </c>
      <c r="B7" s="12" t="s">
        <v>273</v>
      </c>
      <c r="C7" s="12">
        <v>0</v>
      </c>
      <c r="D7" s="12">
        <v>0</v>
      </c>
      <c r="E7" s="12" t="s">
        <v>832</v>
      </c>
      <c r="F7" s="12">
        <v>0</v>
      </c>
      <c r="G7" s="12">
        <v>0</v>
      </c>
      <c r="H7" s="28" t="s">
        <v>104</v>
      </c>
      <c r="I7" s="28">
        <v>5.5</v>
      </c>
      <c r="J7" s="28">
        <v>14</v>
      </c>
      <c r="K7" s="28">
        <v>5</v>
      </c>
      <c r="L7" s="12" t="s">
        <v>274</v>
      </c>
      <c r="M7" s="12">
        <v>9571017810</v>
      </c>
      <c r="N7" s="12" t="s">
        <v>833</v>
      </c>
      <c r="O7" s="12" t="s">
        <v>834</v>
      </c>
      <c r="P7" s="12">
        <v>0</v>
      </c>
      <c r="Q7" s="12">
        <v>0</v>
      </c>
      <c r="R7" s="12">
        <v>0</v>
      </c>
      <c r="S7" s="12">
        <v>0</v>
      </c>
      <c r="T7" s="12">
        <v>0</v>
      </c>
      <c r="U7" s="12">
        <v>0</v>
      </c>
      <c r="V7" s="12">
        <v>0</v>
      </c>
      <c r="W7" s="12">
        <v>0</v>
      </c>
      <c r="X7" s="12">
        <v>0</v>
      </c>
      <c r="Y7" s="12">
        <v>0</v>
      </c>
      <c r="Z7" s="12">
        <v>0</v>
      </c>
      <c r="AA7" s="12">
        <v>0</v>
      </c>
      <c r="AB7" s="12">
        <v>0</v>
      </c>
      <c r="AC7" s="12">
        <v>0</v>
      </c>
      <c r="AD7" s="12">
        <v>0</v>
      </c>
      <c r="AE7" s="12">
        <v>0</v>
      </c>
      <c r="AF7" s="12" t="s">
        <v>1083</v>
      </c>
      <c r="AG7" s="12">
        <v>0</v>
      </c>
      <c r="AH7" s="12">
        <v>0</v>
      </c>
      <c r="AI7" s="12">
        <v>9.4499999999999993</v>
      </c>
      <c r="AJ7" s="12">
        <v>0</v>
      </c>
      <c r="AK7" s="12">
        <v>0</v>
      </c>
      <c r="AL7" s="12">
        <f t="shared" si="0"/>
        <v>9.4499999999999993</v>
      </c>
      <c r="AM7" s="22">
        <v>11500</v>
      </c>
      <c r="AN7" s="22">
        <v>5000</v>
      </c>
      <c r="AO7" s="22">
        <v>0</v>
      </c>
      <c r="AP7" s="22">
        <v>0</v>
      </c>
      <c r="AQ7" s="16">
        <v>10.25</v>
      </c>
      <c r="AR7" s="16">
        <v>425</v>
      </c>
      <c r="AS7" s="12">
        <v>0</v>
      </c>
      <c r="AT7" s="12">
        <v>0</v>
      </c>
      <c r="AU7" s="12">
        <v>0</v>
      </c>
      <c r="AV7" s="12">
        <v>0</v>
      </c>
      <c r="AW7" s="12">
        <v>0</v>
      </c>
      <c r="AX7" s="12">
        <v>0</v>
      </c>
      <c r="AY7" s="12">
        <v>0</v>
      </c>
      <c r="AZ7" s="12">
        <v>0</v>
      </c>
      <c r="BA7" s="12">
        <v>0</v>
      </c>
      <c r="BB7" s="12">
        <v>0</v>
      </c>
      <c r="BC7" s="13">
        <f t="shared" si="1"/>
        <v>11500</v>
      </c>
      <c r="BD7" s="13">
        <f t="shared" si="1"/>
        <v>5000</v>
      </c>
      <c r="BE7" s="13">
        <f t="shared" si="1"/>
        <v>0</v>
      </c>
      <c r="BF7" s="22">
        <f t="shared" si="1"/>
        <v>0</v>
      </c>
      <c r="BG7" s="16">
        <f t="shared" si="2"/>
        <v>10.25</v>
      </c>
      <c r="BH7" s="16">
        <f t="shared" ref="BH7:BH17" si="6">+AR7</f>
        <v>425</v>
      </c>
      <c r="BI7" s="12" t="s">
        <v>250</v>
      </c>
      <c r="BJ7" s="12" t="s">
        <v>634</v>
      </c>
      <c r="BK7" s="12" t="s">
        <v>507</v>
      </c>
      <c r="BL7" s="12">
        <v>9415061959</v>
      </c>
      <c r="BM7" s="12" t="s">
        <v>835</v>
      </c>
      <c r="BN7" s="12" t="s">
        <v>677</v>
      </c>
      <c r="BO7" s="12">
        <v>0</v>
      </c>
      <c r="BP7" s="12">
        <v>0</v>
      </c>
      <c r="BQ7" s="51">
        <v>100</v>
      </c>
      <c r="BR7" s="22">
        <v>100</v>
      </c>
      <c r="BS7" s="15">
        <v>8</v>
      </c>
      <c r="BT7" s="17">
        <v>200</v>
      </c>
      <c r="BU7" s="12" t="s">
        <v>243</v>
      </c>
      <c r="BV7" s="23" t="s">
        <v>596</v>
      </c>
      <c r="BW7" s="12" t="s">
        <v>597</v>
      </c>
      <c r="BX7" s="12">
        <v>8600061885</v>
      </c>
      <c r="BY7" s="12" t="s">
        <v>836</v>
      </c>
      <c r="BZ7" s="12" t="s">
        <v>684</v>
      </c>
      <c r="CA7" s="12" t="s">
        <v>1088</v>
      </c>
      <c r="CB7" s="12" t="s">
        <v>112</v>
      </c>
      <c r="CC7" s="12" t="s">
        <v>837</v>
      </c>
      <c r="CD7" s="12" t="s">
        <v>837</v>
      </c>
      <c r="CE7" s="18">
        <v>11</v>
      </c>
      <c r="CF7" s="17">
        <v>11040</v>
      </c>
      <c r="CG7" s="18">
        <v>1.5</v>
      </c>
      <c r="CH7" s="19" t="s">
        <v>340</v>
      </c>
      <c r="CI7" s="12">
        <v>0</v>
      </c>
      <c r="CJ7" s="12">
        <v>0</v>
      </c>
      <c r="CK7" s="12" t="s">
        <v>142</v>
      </c>
      <c r="CL7" s="12">
        <v>0</v>
      </c>
      <c r="CM7" s="12" t="s">
        <v>142</v>
      </c>
      <c r="CN7" s="12" t="s">
        <v>142</v>
      </c>
      <c r="CO7" s="19" t="s">
        <v>340</v>
      </c>
      <c r="CP7" s="12">
        <v>0</v>
      </c>
      <c r="CQ7" s="12">
        <v>0</v>
      </c>
      <c r="CR7" s="12">
        <v>0</v>
      </c>
      <c r="CS7" s="12">
        <v>0</v>
      </c>
      <c r="CT7" s="12">
        <v>0</v>
      </c>
      <c r="CU7" s="12" t="s">
        <v>602</v>
      </c>
      <c r="CV7" s="12" t="s">
        <v>603</v>
      </c>
      <c r="CW7" s="12">
        <v>9158891164</v>
      </c>
      <c r="CX7" s="12" t="s">
        <v>685</v>
      </c>
      <c r="CY7" s="12" t="s">
        <v>604</v>
      </c>
      <c r="CZ7" s="12">
        <f>1019-6</f>
        <v>1013</v>
      </c>
      <c r="DA7" s="12">
        <v>0</v>
      </c>
      <c r="DB7" s="12" t="s">
        <v>838</v>
      </c>
      <c r="DC7" s="12">
        <v>104</v>
      </c>
      <c r="DD7" s="12">
        <v>14</v>
      </c>
      <c r="DE7" s="12">
        <v>14000</v>
      </c>
      <c r="DF7" s="21" t="str">
        <f t="shared" si="3"/>
        <v>Photos\New\PUNE.pptx</v>
      </c>
      <c r="DG7" s="21" t="str">
        <f t="shared" si="4"/>
        <v>Videos\New\PUNE</v>
      </c>
      <c r="DH7" s="21" t="str">
        <f t="shared" si="5"/>
        <v>Manpower\PUNE.pptx</v>
      </c>
    </row>
    <row r="8" spans="1:112" ht="15.75" customHeight="1" x14ac:dyDescent="0.35">
      <c r="A8" s="12" t="s">
        <v>465</v>
      </c>
      <c r="B8" s="12" t="s">
        <v>438</v>
      </c>
      <c r="C8" s="12">
        <v>0</v>
      </c>
      <c r="D8" s="12">
        <v>0</v>
      </c>
      <c r="E8" s="12" t="s">
        <v>839</v>
      </c>
      <c r="F8" s="12">
        <v>0</v>
      </c>
      <c r="G8" s="12">
        <v>0</v>
      </c>
      <c r="H8" s="28" t="s">
        <v>439</v>
      </c>
      <c r="I8" s="28">
        <v>5</v>
      </c>
      <c r="J8" s="28">
        <v>18</v>
      </c>
      <c r="K8" s="28">
        <v>5</v>
      </c>
      <c r="L8" s="12" t="s">
        <v>440</v>
      </c>
      <c r="M8" s="12">
        <v>9919605171</v>
      </c>
      <c r="N8" s="12" t="s">
        <v>840</v>
      </c>
      <c r="O8" s="12" t="s">
        <v>724</v>
      </c>
      <c r="P8" s="12">
        <v>0</v>
      </c>
      <c r="Q8" s="12">
        <v>0</v>
      </c>
      <c r="R8" s="12">
        <v>0</v>
      </c>
      <c r="S8" s="12">
        <v>0</v>
      </c>
      <c r="T8" s="12">
        <v>0</v>
      </c>
      <c r="U8" s="12">
        <v>0</v>
      </c>
      <c r="V8" s="12">
        <v>0</v>
      </c>
      <c r="W8" s="12">
        <v>0</v>
      </c>
      <c r="X8" s="12">
        <v>0</v>
      </c>
      <c r="Y8" s="12">
        <v>0</v>
      </c>
      <c r="Z8" s="12">
        <v>0</v>
      </c>
      <c r="AA8" s="12">
        <v>0</v>
      </c>
      <c r="AB8" s="12">
        <v>0</v>
      </c>
      <c r="AC8" s="12">
        <v>0</v>
      </c>
      <c r="AD8" s="12">
        <v>0</v>
      </c>
      <c r="AE8" s="12">
        <v>0</v>
      </c>
      <c r="AF8" s="12" t="s">
        <v>1083</v>
      </c>
      <c r="AG8" s="12">
        <v>0</v>
      </c>
      <c r="AH8" s="12">
        <v>0</v>
      </c>
      <c r="AI8" s="12">
        <v>1.65</v>
      </c>
      <c r="AJ8" s="12">
        <v>0</v>
      </c>
      <c r="AK8" s="12">
        <v>0</v>
      </c>
      <c r="AL8" s="12">
        <f t="shared" si="0"/>
        <v>1.65</v>
      </c>
      <c r="AM8" s="22">
        <v>7000</v>
      </c>
      <c r="AN8" s="22">
        <v>0</v>
      </c>
      <c r="AO8" s="22">
        <v>0</v>
      </c>
      <c r="AP8" s="22">
        <v>0</v>
      </c>
      <c r="AQ8" s="16">
        <v>10.5</v>
      </c>
      <c r="AR8" s="16">
        <v>450</v>
      </c>
      <c r="AS8" s="12">
        <v>0</v>
      </c>
      <c r="AT8" s="12">
        <v>0</v>
      </c>
      <c r="AU8" s="12">
        <v>0</v>
      </c>
      <c r="AV8" s="12">
        <v>0</v>
      </c>
      <c r="AW8" s="12">
        <v>0</v>
      </c>
      <c r="AX8" s="12">
        <v>0</v>
      </c>
      <c r="AY8" s="12">
        <v>0</v>
      </c>
      <c r="AZ8" s="12">
        <v>0</v>
      </c>
      <c r="BA8" s="12">
        <v>0</v>
      </c>
      <c r="BB8" s="12">
        <v>0</v>
      </c>
      <c r="BC8" s="13">
        <f t="shared" si="1"/>
        <v>7000</v>
      </c>
      <c r="BD8" s="13">
        <f t="shared" si="1"/>
        <v>0</v>
      </c>
      <c r="BE8" s="13">
        <f t="shared" si="1"/>
        <v>0</v>
      </c>
      <c r="BF8" s="22">
        <f t="shared" si="1"/>
        <v>0</v>
      </c>
      <c r="BG8" s="16">
        <f t="shared" si="2"/>
        <v>10.5</v>
      </c>
      <c r="BH8" s="16">
        <f t="shared" si="6"/>
        <v>450</v>
      </c>
      <c r="BI8" s="12" t="s">
        <v>436</v>
      </c>
      <c r="BJ8" s="12" t="s">
        <v>841</v>
      </c>
      <c r="BK8" s="12" t="s">
        <v>437</v>
      </c>
      <c r="BL8" s="12">
        <v>0</v>
      </c>
      <c r="BM8" s="12" t="s">
        <v>842</v>
      </c>
      <c r="BN8" s="12" t="s">
        <v>686</v>
      </c>
      <c r="BO8" s="12" t="s">
        <v>112</v>
      </c>
      <c r="BP8" s="12">
        <v>0</v>
      </c>
      <c r="BQ8" s="51">
        <v>1650</v>
      </c>
      <c r="BR8" s="22">
        <v>1650</v>
      </c>
      <c r="BS8" s="22">
        <v>8.25</v>
      </c>
      <c r="BT8" s="17">
        <v>225</v>
      </c>
      <c r="BU8" s="12" t="s">
        <v>434</v>
      </c>
      <c r="BV8" s="12" t="s">
        <v>843</v>
      </c>
      <c r="BW8" s="12" t="s">
        <v>435</v>
      </c>
      <c r="BX8" s="12" t="s">
        <v>340</v>
      </c>
      <c r="BY8" s="12" t="s">
        <v>844</v>
      </c>
      <c r="BZ8" s="12" t="s">
        <v>687</v>
      </c>
      <c r="CA8" s="12" t="s">
        <v>1089</v>
      </c>
      <c r="CB8" s="12">
        <v>0</v>
      </c>
      <c r="CC8" s="12">
        <v>55100</v>
      </c>
      <c r="CD8" s="12">
        <v>55100</v>
      </c>
      <c r="CE8" s="18">
        <v>11.25</v>
      </c>
      <c r="CF8" s="12">
        <v>11050</v>
      </c>
      <c r="CG8" s="12">
        <v>1.6</v>
      </c>
      <c r="CH8" s="19" t="s">
        <v>340</v>
      </c>
      <c r="CI8" s="12">
        <v>0</v>
      </c>
      <c r="CJ8" s="12">
        <v>0</v>
      </c>
      <c r="CK8" s="12" t="s">
        <v>142</v>
      </c>
      <c r="CL8" s="12">
        <v>0</v>
      </c>
      <c r="CM8" s="12" t="s">
        <v>142</v>
      </c>
      <c r="CN8" s="12" t="s">
        <v>142</v>
      </c>
      <c r="CO8" s="19" t="s">
        <v>340</v>
      </c>
      <c r="CP8" s="12">
        <v>0</v>
      </c>
      <c r="CQ8" s="12">
        <v>0</v>
      </c>
      <c r="CR8" s="12">
        <v>0</v>
      </c>
      <c r="CS8" s="12">
        <v>0</v>
      </c>
      <c r="CT8" s="12">
        <v>0</v>
      </c>
      <c r="CU8" s="12" t="s">
        <v>431</v>
      </c>
      <c r="CV8" s="12" t="s">
        <v>432</v>
      </c>
      <c r="CW8" s="12">
        <v>9414051454</v>
      </c>
      <c r="CX8" s="12" t="s">
        <v>845</v>
      </c>
      <c r="CY8" s="12" t="s">
        <v>433</v>
      </c>
      <c r="CZ8" s="12">
        <v>1018</v>
      </c>
      <c r="DA8" s="12">
        <v>0</v>
      </c>
      <c r="DB8" s="12" t="s">
        <v>846</v>
      </c>
      <c r="DC8" s="12">
        <v>105</v>
      </c>
      <c r="DD8" s="12">
        <v>15</v>
      </c>
      <c r="DE8" s="12">
        <v>15000</v>
      </c>
      <c r="DF8" s="21" t="str">
        <f t="shared" si="3"/>
        <v>Photos\New\JAIPUR.pptx</v>
      </c>
      <c r="DG8" s="21" t="str">
        <f t="shared" si="4"/>
        <v>Videos\New\JAIPUR</v>
      </c>
      <c r="DH8" s="21" t="str">
        <f t="shared" si="5"/>
        <v>Manpower\JAIPUR.pptx</v>
      </c>
    </row>
    <row r="9" spans="1:112" ht="15.75" customHeight="1" x14ac:dyDescent="0.35">
      <c r="A9" s="24" t="s">
        <v>484</v>
      </c>
      <c r="B9" s="12" t="s">
        <v>508</v>
      </c>
      <c r="C9" s="12">
        <v>0</v>
      </c>
      <c r="D9" s="12">
        <v>0</v>
      </c>
      <c r="E9" s="12" t="s">
        <v>847</v>
      </c>
      <c r="F9" s="12">
        <v>0</v>
      </c>
      <c r="G9" s="12">
        <v>0</v>
      </c>
      <c r="H9" s="28" t="s">
        <v>506</v>
      </c>
      <c r="I9" s="28">
        <v>1</v>
      </c>
      <c r="J9" s="28">
        <v>17</v>
      </c>
      <c r="K9" s="28">
        <v>4</v>
      </c>
      <c r="L9" s="12" t="s">
        <v>508</v>
      </c>
      <c r="M9" s="12">
        <v>9977770099</v>
      </c>
      <c r="N9" s="52" t="s">
        <v>848</v>
      </c>
      <c r="O9" s="12" t="s">
        <v>688</v>
      </c>
      <c r="P9" s="12">
        <v>0</v>
      </c>
      <c r="Q9" s="12">
        <v>0</v>
      </c>
      <c r="R9" s="12">
        <v>0</v>
      </c>
      <c r="S9" s="12">
        <v>0</v>
      </c>
      <c r="T9" s="12">
        <v>0</v>
      </c>
      <c r="U9" s="12">
        <v>0</v>
      </c>
      <c r="V9" s="12">
        <v>0</v>
      </c>
      <c r="W9" s="12">
        <v>0</v>
      </c>
      <c r="X9" s="12">
        <v>0</v>
      </c>
      <c r="Y9" s="12">
        <v>0</v>
      </c>
      <c r="Z9" s="12">
        <v>0</v>
      </c>
      <c r="AA9" s="12">
        <v>0</v>
      </c>
      <c r="AB9" s="12">
        <v>0</v>
      </c>
      <c r="AC9" s="12">
        <v>0</v>
      </c>
      <c r="AD9" s="12">
        <v>0</v>
      </c>
      <c r="AE9" s="12">
        <v>0</v>
      </c>
      <c r="AF9" s="12" t="s">
        <v>1090</v>
      </c>
      <c r="AG9" s="12">
        <v>0</v>
      </c>
      <c r="AH9" s="12">
        <v>0</v>
      </c>
      <c r="AI9" s="12">
        <v>5.6</v>
      </c>
      <c r="AJ9" s="12">
        <v>0</v>
      </c>
      <c r="AK9" s="12">
        <v>0</v>
      </c>
      <c r="AL9" s="12">
        <f t="shared" si="0"/>
        <v>5.6</v>
      </c>
      <c r="AM9" s="22">
        <v>11000</v>
      </c>
      <c r="AN9" s="22" t="s">
        <v>112</v>
      </c>
      <c r="AO9" s="22">
        <v>0</v>
      </c>
      <c r="AP9" s="22">
        <v>0</v>
      </c>
      <c r="AQ9" s="16">
        <v>10.75</v>
      </c>
      <c r="AR9" s="16">
        <v>475</v>
      </c>
      <c r="AS9" s="12">
        <v>0</v>
      </c>
      <c r="AT9" s="12">
        <v>0</v>
      </c>
      <c r="AU9" s="12">
        <v>0</v>
      </c>
      <c r="AV9" s="12">
        <v>0</v>
      </c>
      <c r="AW9" s="12">
        <v>0</v>
      </c>
      <c r="AX9" s="12">
        <v>0</v>
      </c>
      <c r="AY9" s="12">
        <v>0</v>
      </c>
      <c r="AZ9" s="12">
        <v>0</v>
      </c>
      <c r="BA9" s="12">
        <v>0</v>
      </c>
      <c r="BB9" s="12">
        <v>0</v>
      </c>
      <c r="BC9" s="13">
        <f t="shared" ref="BC9:BC40" si="7">SUM(AM9,AS9,AX9)</f>
        <v>11000</v>
      </c>
      <c r="BD9" s="13">
        <v>1500</v>
      </c>
      <c r="BE9" s="13">
        <f t="shared" ref="BE9:BE40" si="8">SUM(AO9,AU9,AZ9)</f>
        <v>0</v>
      </c>
      <c r="BF9" s="22">
        <f t="shared" ref="BF9:BF40" si="9">SUM(AP9,AV9,BA9)</f>
        <v>0</v>
      </c>
      <c r="BG9" s="16">
        <f t="shared" si="2"/>
        <v>10.75</v>
      </c>
      <c r="BH9" s="16">
        <f t="shared" si="6"/>
        <v>475</v>
      </c>
      <c r="BI9" s="12" t="s">
        <v>340</v>
      </c>
      <c r="BJ9" s="12" t="s">
        <v>340</v>
      </c>
      <c r="BK9" s="12" t="s">
        <v>340</v>
      </c>
      <c r="BL9" s="12" t="s">
        <v>340</v>
      </c>
      <c r="BM9" s="12" t="s">
        <v>340</v>
      </c>
      <c r="BN9" s="12" t="s">
        <v>340</v>
      </c>
      <c r="BO9" s="12" t="s">
        <v>340</v>
      </c>
      <c r="BP9" s="12" t="s">
        <v>340</v>
      </c>
      <c r="BQ9" s="18" t="s">
        <v>340</v>
      </c>
      <c r="BR9" s="12" t="s">
        <v>340</v>
      </c>
      <c r="BS9" s="22">
        <v>8.5</v>
      </c>
      <c r="BT9" s="17">
        <v>250</v>
      </c>
      <c r="BU9" s="12" t="s">
        <v>191</v>
      </c>
      <c r="BV9" s="12" t="s">
        <v>849</v>
      </c>
      <c r="BW9" s="12" t="s">
        <v>507</v>
      </c>
      <c r="BX9" s="12">
        <v>9415061959</v>
      </c>
      <c r="BY9" s="12" t="s">
        <v>850</v>
      </c>
      <c r="BZ9" s="12" t="s">
        <v>689</v>
      </c>
      <c r="CA9" s="12" t="s">
        <v>1091</v>
      </c>
      <c r="CB9" s="12">
        <v>0</v>
      </c>
      <c r="CC9" s="12">
        <v>18000</v>
      </c>
      <c r="CD9" s="12">
        <v>18000</v>
      </c>
      <c r="CE9" s="18">
        <v>11.5</v>
      </c>
      <c r="CF9" s="17">
        <v>11060</v>
      </c>
      <c r="CG9" s="18">
        <v>1.7</v>
      </c>
      <c r="CH9" s="19" t="s">
        <v>340</v>
      </c>
      <c r="CI9" s="12">
        <f>1500*9.5</f>
        <v>14250</v>
      </c>
      <c r="CJ9" s="18">
        <f>+CI9/9.5</f>
        <v>1500</v>
      </c>
      <c r="CK9" s="18" t="s">
        <v>142</v>
      </c>
      <c r="CL9" s="18">
        <f>+CJ9/18</f>
        <v>83.333333333333329</v>
      </c>
      <c r="CM9" s="12" t="s">
        <v>142</v>
      </c>
      <c r="CN9" s="12" t="s">
        <v>142</v>
      </c>
      <c r="CO9" s="19" t="s">
        <v>340</v>
      </c>
      <c r="CP9" s="12">
        <v>0</v>
      </c>
      <c r="CQ9" s="12">
        <v>0</v>
      </c>
      <c r="CR9" s="12">
        <v>0</v>
      </c>
      <c r="CS9" s="12">
        <v>0</v>
      </c>
      <c r="CT9" s="12">
        <v>0</v>
      </c>
      <c r="CU9" s="12" t="s">
        <v>487</v>
      </c>
      <c r="CV9" s="12" t="s">
        <v>489</v>
      </c>
      <c r="CW9" s="12">
        <v>9551115908</v>
      </c>
      <c r="CX9" s="12" t="s">
        <v>690</v>
      </c>
      <c r="CY9" s="12" t="s">
        <v>490</v>
      </c>
      <c r="CZ9" s="12">
        <f>1017-54</f>
        <v>963</v>
      </c>
      <c r="DA9" s="12">
        <v>0</v>
      </c>
      <c r="DB9" s="12" t="s">
        <v>842</v>
      </c>
      <c r="DC9" s="12">
        <v>106</v>
      </c>
      <c r="DD9" s="12">
        <v>16</v>
      </c>
      <c r="DE9" s="12">
        <v>16000</v>
      </c>
      <c r="DF9" s="21" t="str">
        <f t="shared" si="3"/>
        <v>Photos\New\INDORE.pptx</v>
      </c>
      <c r="DG9" s="21" t="str">
        <f t="shared" si="4"/>
        <v>Videos\New\INDORE</v>
      </c>
      <c r="DH9" s="21" t="str">
        <f t="shared" si="5"/>
        <v>Manpower\INDORE.pptx</v>
      </c>
    </row>
    <row r="10" spans="1:112" ht="15.75" customHeight="1" x14ac:dyDescent="0.35">
      <c r="A10" s="12" t="s">
        <v>257</v>
      </c>
      <c r="B10" s="12" t="s">
        <v>166</v>
      </c>
      <c r="C10" s="12">
        <v>0</v>
      </c>
      <c r="D10" s="12">
        <v>0</v>
      </c>
      <c r="E10" s="4" t="s">
        <v>691</v>
      </c>
      <c r="F10" s="12">
        <v>0</v>
      </c>
      <c r="G10" s="12">
        <v>0</v>
      </c>
      <c r="H10" s="28" t="s">
        <v>170</v>
      </c>
      <c r="I10" s="28">
        <v>5</v>
      </c>
      <c r="J10" s="28">
        <v>50</v>
      </c>
      <c r="K10" s="28">
        <v>5</v>
      </c>
      <c r="L10" s="12" t="s">
        <v>164</v>
      </c>
      <c r="M10" s="12">
        <v>9580066515</v>
      </c>
      <c r="N10" s="53" t="s">
        <v>851</v>
      </c>
      <c r="O10" s="12" t="s">
        <v>692</v>
      </c>
      <c r="P10" s="12">
        <v>0</v>
      </c>
      <c r="Q10" s="12">
        <v>0</v>
      </c>
      <c r="R10" s="12">
        <v>0</v>
      </c>
      <c r="S10" s="12">
        <v>0</v>
      </c>
      <c r="T10" s="12">
        <v>0</v>
      </c>
      <c r="U10" s="12">
        <v>0</v>
      </c>
      <c r="V10" s="12">
        <v>0</v>
      </c>
      <c r="W10" s="12">
        <v>0</v>
      </c>
      <c r="X10" s="12">
        <v>0</v>
      </c>
      <c r="Y10" s="12">
        <v>0</v>
      </c>
      <c r="Z10" s="12">
        <v>0</v>
      </c>
      <c r="AA10" s="12">
        <v>0</v>
      </c>
      <c r="AB10" s="12">
        <v>0</v>
      </c>
      <c r="AC10" s="12">
        <v>0</v>
      </c>
      <c r="AD10" s="12">
        <v>0</v>
      </c>
      <c r="AE10" s="12">
        <v>0</v>
      </c>
      <c r="AF10" s="12" t="s">
        <v>1083</v>
      </c>
      <c r="AG10" s="12">
        <v>0</v>
      </c>
      <c r="AH10" s="12">
        <v>0</v>
      </c>
      <c r="AI10" s="12">
        <v>10</v>
      </c>
      <c r="AJ10" s="12">
        <v>0</v>
      </c>
      <c r="AK10" s="12">
        <v>0</v>
      </c>
      <c r="AL10" s="12">
        <f t="shared" si="0"/>
        <v>10</v>
      </c>
      <c r="AM10" s="22">
        <v>11115</v>
      </c>
      <c r="AN10" s="22">
        <v>1790</v>
      </c>
      <c r="AO10" s="22">
        <v>0</v>
      </c>
      <c r="AP10" s="22">
        <v>0</v>
      </c>
      <c r="AQ10" s="16">
        <v>11</v>
      </c>
      <c r="AR10" s="16">
        <v>500</v>
      </c>
      <c r="AS10" s="12">
        <v>0</v>
      </c>
      <c r="AT10" s="12">
        <v>0</v>
      </c>
      <c r="AU10" s="12">
        <v>0</v>
      </c>
      <c r="AV10" s="12">
        <v>0</v>
      </c>
      <c r="AW10" s="12">
        <v>0</v>
      </c>
      <c r="AX10" s="12">
        <v>0</v>
      </c>
      <c r="AY10" s="12">
        <v>0</v>
      </c>
      <c r="AZ10" s="12">
        <v>0</v>
      </c>
      <c r="BA10" s="12">
        <v>0</v>
      </c>
      <c r="BB10" s="12">
        <v>0</v>
      </c>
      <c r="BC10" s="13">
        <f t="shared" si="7"/>
        <v>11115</v>
      </c>
      <c r="BD10" s="13">
        <f t="shared" ref="BD10:BD40" si="10">SUM(AN10,AT10,AY10)</f>
        <v>1790</v>
      </c>
      <c r="BE10" s="13">
        <f t="shared" si="8"/>
        <v>0</v>
      </c>
      <c r="BF10" s="22">
        <f t="shared" si="9"/>
        <v>0</v>
      </c>
      <c r="BG10" s="16">
        <f t="shared" si="2"/>
        <v>11</v>
      </c>
      <c r="BH10" s="16">
        <f t="shared" si="6"/>
        <v>500</v>
      </c>
      <c r="BI10" s="12">
        <v>0</v>
      </c>
      <c r="BJ10" s="12">
        <v>0</v>
      </c>
      <c r="BK10" s="12">
        <v>0</v>
      </c>
      <c r="BL10" s="12">
        <v>0</v>
      </c>
      <c r="BM10" s="12">
        <v>0</v>
      </c>
      <c r="BN10" s="12">
        <v>0</v>
      </c>
      <c r="BO10" s="12">
        <v>0</v>
      </c>
      <c r="BP10" s="12">
        <v>0</v>
      </c>
      <c r="BQ10" s="18">
        <v>0</v>
      </c>
      <c r="BR10" s="12">
        <v>0</v>
      </c>
      <c r="BS10" s="22">
        <v>8.75</v>
      </c>
      <c r="BT10" s="17">
        <v>275</v>
      </c>
      <c r="BU10" s="12" t="s">
        <v>167</v>
      </c>
      <c r="BV10" s="12" t="s">
        <v>693</v>
      </c>
      <c r="BW10" s="12" t="s">
        <v>168</v>
      </c>
      <c r="BX10" s="12" t="s">
        <v>340</v>
      </c>
      <c r="BY10" s="12" t="s">
        <v>852</v>
      </c>
      <c r="BZ10" s="12" t="s">
        <v>689</v>
      </c>
      <c r="CA10" s="12" t="s">
        <v>169</v>
      </c>
      <c r="CB10" s="12" t="s">
        <v>112</v>
      </c>
      <c r="CC10" s="12">
        <v>6150</v>
      </c>
      <c r="CD10" s="12">
        <v>6150</v>
      </c>
      <c r="CE10" s="18">
        <v>11.75</v>
      </c>
      <c r="CF10" s="17">
        <v>11070</v>
      </c>
      <c r="CG10" s="18">
        <v>1.8</v>
      </c>
      <c r="CH10" s="19" t="s">
        <v>340</v>
      </c>
      <c r="CI10" s="12">
        <v>15000</v>
      </c>
      <c r="CJ10" s="18">
        <f>+CI10/9.5</f>
        <v>1578.9473684210527</v>
      </c>
      <c r="CK10" s="18" t="s">
        <v>142</v>
      </c>
      <c r="CL10" s="18">
        <f>+CJ10/18</f>
        <v>87.719298245614041</v>
      </c>
      <c r="CM10" s="12" t="s">
        <v>340</v>
      </c>
      <c r="CN10" s="12" t="s">
        <v>108</v>
      </c>
      <c r="CO10" s="19" t="s">
        <v>340</v>
      </c>
      <c r="CP10" s="12">
        <v>0</v>
      </c>
      <c r="CQ10" s="12">
        <v>0</v>
      </c>
      <c r="CR10" s="12">
        <v>0</v>
      </c>
      <c r="CS10" s="12">
        <v>0</v>
      </c>
      <c r="CT10" s="12">
        <v>0</v>
      </c>
      <c r="CU10" s="12" t="s">
        <v>163</v>
      </c>
      <c r="CV10" s="12" t="s">
        <v>173</v>
      </c>
      <c r="CW10" s="12">
        <v>9790940961</v>
      </c>
      <c r="CX10" s="12" t="s">
        <v>174</v>
      </c>
      <c r="CY10" s="12" t="s">
        <v>175</v>
      </c>
      <c r="CZ10" s="12">
        <v>1014</v>
      </c>
      <c r="DA10" s="12" t="s">
        <v>340</v>
      </c>
      <c r="DB10" s="12" t="s">
        <v>694</v>
      </c>
      <c r="DC10" s="12">
        <v>107</v>
      </c>
      <c r="DD10" s="12">
        <v>17</v>
      </c>
      <c r="DE10" s="12">
        <v>17000</v>
      </c>
      <c r="DF10" s="21" t="str">
        <f t="shared" si="3"/>
        <v>Photos\New\CHENNAI.pptx</v>
      </c>
      <c r="DG10" s="21" t="str">
        <f t="shared" si="4"/>
        <v>Videos\New\CHENNAI</v>
      </c>
      <c r="DH10" s="21" t="str">
        <f t="shared" si="5"/>
        <v>Manpower\CHENNAI.pptx</v>
      </c>
    </row>
    <row r="11" spans="1:112" ht="15.75" customHeight="1" x14ac:dyDescent="0.35">
      <c r="A11" s="12" t="s">
        <v>60</v>
      </c>
      <c r="B11" s="12" t="s">
        <v>207</v>
      </c>
      <c r="C11" s="12" t="s">
        <v>209</v>
      </c>
      <c r="D11" s="12" t="s">
        <v>207</v>
      </c>
      <c r="E11" s="12" t="s">
        <v>853</v>
      </c>
      <c r="F11" s="12" t="s">
        <v>854</v>
      </c>
      <c r="G11" s="12" t="s">
        <v>853</v>
      </c>
      <c r="H11" s="28" t="s">
        <v>208</v>
      </c>
      <c r="I11" s="28">
        <v>1.5</v>
      </c>
      <c r="J11" s="28">
        <v>11</v>
      </c>
      <c r="K11" s="28">
        <v>1</v>
      </c>
      <c r="L11" s="12" t="s">
        <v>207</v>
      </c>
      <c r="M11" s="12">
        <v>9447144576</v>
      </c>
      <c r="N11" s="12" t="s">
        <v>855</v>
      </c>
      <c r="O11" s="12" t="s">
        <v>695</v>
      </c>
      <c r="P11" s="28" t="s">
        <v>208</v>
      </c>
      <c r="Q11" s="28">
        <v>1.5</v>
      </c>
      <c r="R11" s="28">
        <v>11</v>
      </c>
      <c r="S11" s="28">
        <v>1</v>
      </c>
      <c r="T11" s="12" t="s">
        <v>207</v>
      </c>
      <c r="U11" s="12">
        <v>9447144576</v>
      </c>
      <c r="V11" s="12" t="s">
        <v>855</v>
      </c>
      <c r="W11" s="12" t="s">
        <v>695</v>
      </c>
      <c r="X11" s="28" t="s">
        <v>208</v>
      </c>
      <c r="Y11" s="28">
        <v>1.5</v>
      </c>
      <c r="Z11" s="28">
        <v>11</v>
      </c>
      <c r="AA11" s="28">
        <v>1</v>
      </c>
      <c r="AB11" s="12" t="s">
        <v>207</v>
      </c>
      <c r="AC11" s="12">
        <v>9447144576</v>
      </c>
      <c r="AD11" s="12" t="s">
        <v>855</v>
      </c>
      <c r="AE11" s="12" t="s">
        <v>695</v>
      </c>
      <c r="AF11" s="12" t="s">
        <v>1092</v>
      </c>
      <c r="AG11" s="12" t="s">
        <v>1092</v>
      </c>
      <c r="AH11" s="12" t="s">
        <v>1092</v>
      </c>
      <c r="AI11" s="12">
        <v>0</v>
      </c>
      <c r="AJ11" s="12" t="s">
        <v>112</v>
      </c>
      <c r="AK11" s="12" t="s">
        <v>112</v>
      </c>
      <c r="AL11" s="12">
        <f>SUM(AI10:AK10)</f>
        <v>10</v>
      </c>
      <c r="AM11" s="22">
        <v>7800</v>
      </c>
      <c r="AN11" s="22">
        <v>1000</v>
      </c>
      <c r="AO11" s="22">
        <v>1500</v>
      </c>
      <c r="AP11" s="22">
        <v>0</v>
      </c>
      <c r="AQ11" s="16">
        <v>11.25</v>
      </c>
      <c r="AR11" s="16">
        <v>525</v>
      </c>
      <c r="AS11" s="22">
        <v>7000</v>
      </c>
      <c r="AT11" s="22">
        <v>0</v>
      </c>
      <c r="AU11" s="22">
        <v>0</v>
      </c>
      <c r="AV11" s="22">
        <v>0</v>
      </c>
      <c r="AW11" s="16">
        <v>11</v>
      </c>
      <c r="AX11" s="22">
        <v>800</v>
      </c>
      <c r="AY11" s="22">
        <v>0</v>
      </c>
      <c r="AZ11" s="22">
        <v>0</v>
      </c>
      <c r="BA11" s="22">
        <v>0</v>
      </c>
      <c r="BB11" s="16">
        <v>11</v>
      </c>
      <c r="BC11" s="25">
        <f>SUM(AM10,AS10,AX10)</f>
        <v>11115</v>
      </c>
      <c r="BD11" s="25">
        <f>SUM(AN10,AT10,AY10)</f>
        <v>1790</v>
      </c>
      <c r="BE11" s="25">
        <f>SUM(AO10,AU10,AZ10)</f>
        <v>0</v>
      </c>
      <c r="BF11" s="25">
        <f>SUM(AP10,AV10,BA10)</f>
        <v>0</v>
      </c>
      <c r="BG11" s="16">
        <f>(AS10*AW10+AX10*BB10+AQ10*AM10)/BC10</f>
        <v>11</v>
      </c>
      <c r="BH11" s="16">
        <f>+AR10</f>
        <v>500</v>
      </c>
      <c r="BI11" s="12">
        <v>0</v>
      </c>
      <c r="BJ11" s="12">
        <v>0</v>
      </c>
      <c r="BK11" s="12">
        <v>0</v>
      </c>
      <c r="BL11" s="12">
        <v>0</v>
      </c>
      <c r="BM11" s="12">
        <v>0</v>
      </c>
      <c r="BN11" s="12">
        <v>0</v>
      </c>
      <c r="BO11" s="12">
        <v>0</v>
      </c>
      <c r="BP11" s="12">
        <v>0</v>
      </c>
      <c r="BQ11" s="18">
        <v>0</v>
      </c>
      <c r="BR11" s="12">
        <v>0</v>
      </c>
      <c r="BS11" s="15">
        <v>9</v>
      </c>
      <c r="BT11" s="17">
        <v>300</v>
      </c>
      <c r="BU11" s="12" t="s">
        <v>210</v>
      </c>
      <c r="BV11" s="12" t="s">
        <v>854</v>
      </c>
      <c r="BW11" s="12" t="s">
        <v>211</v>
      </c>
      <c r="BX11" s="12">
        <v>9846045105</v>
      </c>
      <c r="BY11" s="12" t="s">
        <v>816</v>
      </c>
      <c r="BZ11" s="12" t="s">
        <v>696</v>
      </c>
      <c r="CA11" s="12" t="s">
        <v>169</v>
      </c>
      <c r="CB11" s="12" t="s">
        <v>112</v>
      </c>
      <c r="CC11" s="12" t="s">
        <v>856</v>
      </c>
      <c r="CD11" s="12">
        <v>11140</v>
      </c>
      <c r="CE11" s="18">
        <v>12</v>
      </c>
      <c r="CF11" s="17">
        <v>11080</v>
      </c>
      <c r="CG11" s="12">
        <v>1.9</v>
      </c>
      <c r="CH11" s="19" t="s">
        <v>340</v>
      </c>
      <c r="CI11" s="12">
        <f>1000*9.5</f>
        <v>9500</v>
      </c>
      <c r="CJ11" s="18">
        <f>+CI10/9.5</f>
        <v>1578.9473684210527</v>
      </c>
      <c r="CK11" s="18" t="s">
        <v>142</v>
      </c>
      <c r="CL11" s="18">
        <f>+CJ10/18</f>
        <v>87.719298245614041</v>
      </c>
      <c r="CM11" s="12">
        <v>1011</v>
      </c>
      <c r="CN11" s="12" t="s">
        <v>108</v>
      </c>
      <c r="CO11" s="19" t="s">
        <v>340</v>
      </c>
      <c r="CP11" s="12">
        <v>0</v>
      </c>
      <c r="CQ11" s="12">
        <v>0</v>
      </c>
      <c r="CR11" s="12">
        <v>0</v>
      </c>
      <c r="CS11" s="12">
        <v>0</v>
      </c>
      <c r="CT11" s="12">
        <v>0</v>
      </c>
      <c r="CU11" s="12" t="s">
        <v>212</v>
      </c>
      <c r="CV11" s="12" t="s">
        <v>213</v>
      </c>
      <c r="CW11" s="12">
        <v>9846045105</v>
      </c>
      <c r="CX11" s="12" t="s">
        <v>697</v>
      </c>
      <c r="CY11" s="12" t="s">
        <v>214</v>
      </c>
      <c r="CZ11" s="12">
        <v>1010</v>
      </c>
      <c r="DA11" s="12">
        <v>0</v>
      </c>
      <c r="DB11" s="12" t="s">
        <v>857</v>
      </c>
      <c r="DC11" s="12">
        <v>108</v>
      </c>
      <c r="DD11" s="12">
        <v>18</v>
      </c>
      <c r="DE11" s="12">
        <v>18000</v>
      </c>
      <c r="DF11" s="21" t="str">
        <f>"Photos\New\"&amp;$A10&amp;".pptx"</f>
        <v>Photos\New\CHENNAI.pptx</v>
      </c>
      <c r="DG11" s="21" t="str">
        <f>"Videos\New\"&amp;$A10</f>
        <v>Videos\New\CHENNAI</v>
      </c>
      <c r="DH11" s="21" t="str">
        <f>"Manpower\"&amp;$A10&amp;".pptx"</f>
        <v>Manpower\CHENNAI.pptx</v>
      </c>
    </row>
    <row r="12" spans="1:112" ht="15.75" customHeight="1" x14ac:dyDescent="0.35">
      <c r="A12" s="12" t="s">
        <v>348</v>
      </c>
      <c r="B12" s="12" t="s">
        <v>373</v>
      </c>
      <c r="C12" s="12">
        <v>0</v>
      </c>
      <c r="D12" s="12">
        <v>0</v>
      </c>
      <c r="E12" s="23" t="s">
        <v>858</v>
      </c>
      <c r="F12" s="12">
        <v>0</v>
      </c>
      <c r="G12" s="12">
        <v>0</v>
      </c>
      <c r="H12" s="28" t="s">
        <v>291</v>
      </c>
      <c r="I12" s="28">
        <v>5.5</v>
      </c>
      <c r="J12" s="28">
        <v>18</v>
      </c>
      <c r="K12" s="28">
        <v>1</v>
      </c>
      <c r="L12" s="12" t="s">
        <v>373</v>
      </c>
      <c r="M12" s="12">
        <v>7809788888</v>
      </c>
      <c r="N12" s="12" t="s">
        <v>859</v>
      </c>
      <c r="O12" s="12" t="s">
        <v>860</v>
      </c>
      <c r="P12" s="12">
        <v>0</v>
      </c>
      <c r="Q12" s="12">
        <v>0</v>
      </c>
      <c r="R12" s="12">
        <v>0</v>
      </c>
      <c r="S12" s="12">
        <v>0</v>
      </c>
      <c r="T12" s="12">
        <v>0</v>
      </c>
      <c r="U12" s="12">
        <v>0</v>
      </c>
      <c r="V12" s="12">
        <v>0</v>
      </c>
      <c r="W12" s="12">
        <v>0</v>
      </c>
      <c r="X12" s="12">
        <v>0</v>
      </c>
      <c r="Y12" s="12">
        <v>0</v>
      </c>
      <c r="Z12" s="12">
        <v>0</v>
      </c>
      <c r="AA12" s="12">
        <v>0</v>
      </c>
      <c r="AB12" s="12">
        <v>0</v>
      </c>
      <c r="AC12" s="12">
        <v>0</v>
      </c>
      <c r="AD12" s="12">
        <v>0</v>
      </c>
      <c r="AE12" s="12">
        <v>0</v>
      </c>
      <c r="AF12" s="12" t="s">
        <v>1083</v>
      </c>
      <c r="AG12" s="12">
        <v>0</v>
      </c>
      <c r="AH12" s="12">
        <v>0</v>
      </c>
      <c r="AI12" s="12">
        <v>1.05</v>
      </c>
      <c r="AJ12" s="12">
        <v>0</v>
      </c>
      <c r="AK12" s="12">
        <v>0</v>
      </c>
      <c r="AL12" s="12">
        <f>SUM(AI14:AK14)</f>
        <v>0</v>
      </c>
      <c r="AM12" s="22">
        <v>19877</v>
      </c>
      <c r="AN12" s="22">
        <v>700</v>
      </c>
      <c r="AO12" s="22">
        <v>0</v>
      </c>
      <c r="AP12" s="22">
        <v>0</v>
      </c>
      <c r="AQ12" s="16">
        <v>11.5</v>
      </c>
      <c r="AR12" s="16">
        <v>550</v>
      </c>
      <c r="AS12" s="12">
        <v>0</v>
      </c>
      <c r="AT12" s="12">
        <v>0</v>
      </c>
      <c r="AU12" s="12">
        <v>0</v>
      </c>
      <c r="AV12" s="12">
        <v>0</v>
      </c>
      <c r="AW12" s="12">
        <v>0</v>
      </c>
      <c r="AX12" s="12">
        <v>0</v>
      </c>
      <c r="AY12" s="12">
        <v>0</v>
      </c>
      <c r="AZ12" s="12">
        <v>0</v>
      </c>
      <c r="BA12" s="12">
        <v>0</v>
      </c>
      <c r="BB12" s="12">
        <v>0</v>
      </c>
      <c r="BC12" s="13">
        <f>SUM(AM14,AS14,AX14)</f>
        <v>11455</v>
      </c>
      <c r="BD12" s="14">
        <f>SUM(AN14,AT14,AY14)</f>
        <v>1000</v>
      </c>
      <c r="BE12" s="13">
        <f>SUM(AO14,AU14,AZ14)</f>
        <v>400</v>
      </c>
      <c r="BF12" s="22">
        <f>SUM(AP14,AV14,BA14)</f>
        <v>0</v>
      </c>
      <c r="BG12" s="16">
        <f>(AS14*AW14+AX14*BB14+AQ14*AM14)/BC14</f>
        <v>12</v>
      </c>
      <c r="BH12" s="16">
        <f>+AR14</f>
        <v>600</v>
      </c>
      <c r="BI12" s="12">
        <v>0</v>
      </c>
      <c r="BJ12" s="23">
        <v>0</v>
      </c>
      <c r="BK12" s="12">
        <v>0</v>
      </c>
      <c r="BL12" s="12">
        <v>0</v>
      </c>
      <c r="BM12" s="12">
        <v>0</v>
      </c>
      <c r="BN12" s="12">
        <v>0</v>
      </c>
      <c r="BO12" s="12">
        <v>0</v>
      </c>
      <c r="BP12" s="12">
        <v>0</v>
      </c>
      <c r="BQ12" s="18">
        <v>0</v>
      </c>
      <c r="BR12" s="12">
        <v>0</v>
      </c>
      <c r="BS12" s="22">
        <v>9.25</v>
      </c>
      <c r="BT12" s="17">
        <v>325</v>
      </c>
      <c r="BU12" s="12" t="s">
        <v>371</v>
      </c>
      <c r="BV12" s="12" t="s">
        <v>376</v>
      </c>
      <c r="BW12" s="12" t="s">
        <v>372</v>
      </c>
      <c r="BX12" s="12">
        <v>9457018885</v>
      </c>
      <c r="BY12" s="12" t="s">
        <v>861</v>
      </c>
      <c r="BZ12" s="12" t="s">
        <v>698</v>
      </c>
      <c r="CA12" s="12" t="s">
        <v>112</v>
      </c>
      <c r="CB12" s="12">
        <v>0</v>
      </c>
      <c r="CC12" s="17">
        <v>1947</v>
      </c>
      <c r="CD12" s="17">
        <f>CC14</f>
        <v>5000</v>
      </c>
      <c r="CE12" s="18">
        <v>12.25</v>
      </c>
      <c r="CF12" s="12">
        <v>11090</v>
      </c>
      <c r="CG12" s="18">
        <v>2</v>
      </c>
      <c r="CH12" s="19" t="s">
        <v>340</v>
      </c>
      <c r="CI12" s="12">
        <v>1000</v>
      </c>
      <c r="CJ12" s="18">
        <f>+CI14/9.5</f>
        <v>105.26315789473684</v>
      </c>
      <c r="CK12" s="18" t="s">
        <v>142</v>
      </c>
      <c r="CL12" s="18">
        <v>11.19</v>
      </c>
      <c r="CM12" s="12">
        <v>1015</v>
      </c>
      <c r="CN12" s="12" t="s">
        <v>108</v>
      </c>
      <c r="CO12" s="19" t="s">
        <v>340</v>
      </c>
      <c r="CP12" s="12">
        <v>5000</v>
      </c>
      <c r="CQ12" s="20">
        <f>+CP14/5.5*16</f>
        <v>0</v>
      </c>
      <c r="CR12" s="12">
        <v>0</v>
      </c>
      <c r="CS12" s="12">
        <v>1016</v>
      </c>
      <c r="CT12" s="12" t="s">
        <v>108</v>
      </c>
      <c r="CU12" s="12" t="s">
        <v>374</v>
      </c>
      <c r="CV12" s="12" t="s">
        <v>375</v>
      </c>
      <c r="CW12" s="12">
        <v>9457018885</v>
      </c>
      <c r="CX12" s="12" t="s">
        <v>376</v>
      </c>
      <c r="CY12" s="12" t="s">
        <v>377</v>
      </c>
      <c r="CZ12" s="12">
        <f>1019-5</f>
        <v>1014</v>
      </c>
      <c r="DA12" s="12">
        <v>0</v>
      </c>
      <c r="DB12" s="12" t="s">
        <v>862</v>
      </c>
      <c r="DC12" s="12">
        <v>109</v>
      </c>
      <c r="DD12" s="12">
        <v>19</v>
      </c>
      <c r="DE12" s="12">
        <v>19000</v>
      </c>
      <c r="DF12" s="21" t="str">
        <f>"Photos\New\"&amp;$A14&amp;".pptx"</f>
        <v>Photos\New\SURAT.pptx</v>
      </c>
      <c r="DG12" s="21" t="str">
        <f>"Videos\New\"&amp;$A14</f>
        <v>Videos\New\SURAT</v>
      </c>
      <c r="DH12" s="21" t="str">
        <f>"Manpower\"&amp;$A14&amp;".pptx"</f>
        <v>Manpower\SURAT.pptx</v>
      </c>
    </row>
    <row r="13" spans="1:112" ht="15.75" customHeight="1" x14ac:dyDescent="0.35">
      <c r="A13" s="12" t="s">
        <v>420</v>
      </c>
      <c r="B13" s="12" t="s">
        <v>421</v>
      </c>
      <c r="C13" s="12">
        <v>0</v>
      </c>
      <c r="D13" s="12">
        <v>0</v>
      </c>
      <c r="E13" s="12" t="s">
        <v>863</v>
      </c>
      <c r="F13" s="12">
        <v>0</v>
      </c>
      <c r="G13" s="12">
        <v>0</v>
      </c>
      <c r="H13" s="28" t="s">
        <v>104</v>
      </c>
      <c r="I13" s="28">
        <v>1</v>
      </c>
      <c r="J13" s="28">
        <v>14</v>
      </c>
      <c r="K13" s="28">
        <v>1</v>
      </c>
      <c r="L13" s="12" t="s">
        <v>422</v>
      </c>
      <c r="M13" s="12">
        <v>9817091199</v>
      </c>
      <c r="N13" s="12" t="s">
        <v>864</v>
      </c>
      <c r="O13" s="12" t="s">
        <v>699</v>
      </c>
      <c r="P13" s="12">
        <v>0</v>
      </c>
      <c r="Q13" s="12">
        <v>0</v>
      </c>
      <c r="R13" s="12">
        <v>0</v>
      </c>
      <c r="S13" s="12">
        <v>0</v>
      </c>
      <c r="T13" s="12">
        <v>0</v>
      </c>
      <c r="U13" s="12">
        <v>0</v>
      </c>
      <c r="V13" s="12">
        <v>0</v>
      </c>
      <c r="W13" s="12">
        <v>0</v>
      </c>
      <c r="X13" s="12">
        <v>0</v>
      </c>
      <c r="Y13" s="12">
        <v>0</v>
      </c>
      <c r="Z13" s="12">
        <v>0</v>
      </c>
      <c r="AA13" s="12">
        <v>0</v>
      </c>
      <c r="AB13" s="12">
        <v>0</v>
      </c>
      <c r="AC13" s="12">
        <v>0</v>
      </c>
      <c r="AD13" s="12">
        <v>0</v>
      </c>
      <c r="AE13" s="12">
        <v>0</v>
      </c>
      <c r="AF13" s="12" t="s">
        <v>1093</v>
      </c>
      <c r="AG13" s="12">
        <v>0</v>
      </c>
      <c r="AH13" s="12">
        <v>0</v>
      </c>
      <c r="AI13" s="12">
        <v>0.46</v>
      </c>
      <c r="AJ13" s="12">
        <v>0</v>
      </c>
      <c r="AK13" s="12">
        <v>0</v>
      </c>
      <c r="AL13" s="12">
        <f t="shared" si="0"/>
        <v>0.46</v>
      </c>
      <c r="AM13" s="22">
        <v>1519</v>
      </c>
      <c r="AN13" s="22">
        <v>0</v>
      </c>
      <c r="AO13" s="22">
        <v>0</v>
      </c>
      <c r="AP13" s="22">
        <v>0</v>
      </c>
      <c r="AQ13" s="16">
        <v>11.75</v>
      </c>
      <c r="AR13" s="16">
        <v>575</v>
      </c>
      <c r="AS13" s="12">
        <v>0</v>
      </c>
      <c r="AT13" s="12">
        <v>0</v>
      </c>
      <c r="AU13" s="12">
        <v>0</v>
      </c>
      <c r="AV13" s="12">
        <v>0</v>
      </c>
      <c r="AW13" s="12">
        <v>0</v>
      </c>
      <c r="AX13" s="12">
        <v>0</v>
      </c>
      <c r="AY13" s="12">
        <v>0</v>
      </c>
      <c r="AZ13" s="12">
        <v>0</v>
      </c>
      <c r="BA13" s="12">
        <v>0</v>
      </c>
      <c r="BB13" s="12">
        <v>0</v>
      </c>
      <c r="BC13" s="13">
        <f t="shared" si="7"/>
        <v>1519</v>
      </c>
      <c r="BD13" s="13">
        <f t="shared" si="10"/>
        <v>0</v>
      </c>
      <c r="BE13" s="13">
        <f t="shared" si="8"/>
        <v>0</v>
      </c>
      <c r="BF13" s="22">
        <f t="shared" si="9"/>
        <v>0</v>
      </c>
      <c r="BG13" s="16">
        <f t="shared" si="2"/>
        <v>11.75</v>
      </c>
      <c r="BH13" s="16">
        <f t="shared" si="6"/>
        <v>575</v>
      </c>
      <c r="BI13" s="12" t="s">
        <v>418</v>
      </c>
      <c r="BJ13" s="12" t="s">
        <v>865</v>
      </c>
      <c r="BK13" s="12" t="s">
        <v>422</v>
      </c>
      <c r="BL13" s="12">
        <v>9817091199</v>
      </c>
      <c r="BM13" s="12" t="s">
        <v>866</v>
      </c>
      <c r="BN13" s="12" t="s">
        <v>684</v>
      </c>
      <c r="BO13" s="12" t="s">
        <v>112</v>
      </c>
      <c r="BP13" s="12" t="s">
        <v>112</v>
      </c>
      <c r="BQ13" s="51">
        <v>648</v>
      </c>
      <c r="BR13" s="22">
        <v>648</v>
      </c>
      <c r="BS13" s="22">
        <v>9.5</v>
      </c>
      <c r="BT13" s="17">
        <v>350</v>
      </c>
      <c r="BU13" s="12" t="s">
        <v>423</v>
      </c>
      <c r="BV13" s="12" t="s">
        <v>863</v>
      </c>
      <c r="BW13" s="12" t="s">
        <v>419</v>
      </c>
      <c r="BX13" s="12">
        <v>9817091199</v>
      </c>
      <c r="BY13" s="12" t="s">
        <v>867</v>
      </c>
      <c r="BZ13" s="12" t="s">
        <v>868</v>
      </c>
      <c r="CA13" s="12" t="s">
        <v>1094</v>
      </c>
      <c r="CB13" s="12">
        <v>0</v>
      </c>
      <c r="CC13" s="17">
        <f>48000/5.45</f>
        <v>8807.3394495412849</v>
      </c>
      <c r="CD13" s="12">
        <v>15915</v>
      </c>
      <c r="CE13" s="18">
        <v>12.5</v>
      </c>
      <c r="CF13" s="17">
        <v>11100</v>
      </c>
      <c r="CG13" s="18">
        <v>2.1</v>
      </c>
      <c r="CH13" s="19" t="s">
        <v>340</v>
      </c>
      <c r="CI13" s="12">
        <v>0</v>
      </c>
      <c r="CJ13" s="12">
        <v>0</v>
      </c>
      <c r="CK13" s="12" t="s">
        <v>142</v>
      </c>
      <c r="CL13" s="12">
        <v>0</v>
      </c>
      <c r="CM13" s="12" t="s">
        <v>142</v>
      </c>
      <c r="CN13" s="12" t="s">
        <v>142</v>
      </c>
      <c r="CO13" s="19" t="s">
        <v>340</v>
      </c>
      <c r="CP13" s="12">
        <v>0</v>
      </c>
      <c r="CQ13" s="12">
        <v>0</v>
      </c>
      <c r="CR13" s="12">
        <v>0</v>
      </c>
      <c r="CS13" s="12">
        <v>0</v>
      </c>
      <c r="CT13" s="12">
        <v>0</v>
      </c>
      <c r="CU13" s="12" t="s">
        <v>418</v>
      </c>
      <c r="CV13" s="12" t="s">
        <v>419</v>
      </c>
      <c r="CW13" s="12">
        <v>9817091199</v>
      </c>
      <c r="CX13" s="12" t="s">
        <v>869</v>
      </c>
      <c r="CY13" s="12" t="s">
        <v>340</v>
      </c>
      <c r="CZ13" s="12">
        <f>1018-6</f>
        <v>1012</v>
      </c>
      <c r="DA13" s="12">
        <v>0</v>
      </c>
      <c r="DB13" s="12" t="s">
        <v>826</v>
      </c>
      <c r="DC13" s="12">
        <v>110</v>
      </c>
      <c r="DD13" s="12">
        <v>20</v>
      </c>
      <c r="DE13" s="12">
        <v>20000</v>
      </c>
      <c r="DF13" s="21" t="str">
        <f t="shared" si="3"/>
        <v>Photos\New\JABALPUR.pptx</v>
      </c>
      <c r="DG13" s="21" t="str">
        <f t="shared" si="4"/>
        <v>Videos\New\JABALPUR</v>
      </c>
      <c r="DH13" s="21" t="str">
        <f t="shared" si="5"/>
        <v>Manpower\JABALPUR.pptx</v>
      </c>
    </row>
    <row r="14" spans="1:112" ht="15.75" customHeight="1" x14ac:dyDescent="0.35">
      <c r="A14" s="12" t="s">
        <v>467</v>
      </c>
      <c r="B14" s="12" t="s">
        <v>454</v>
      </c>
      <c r="C14" s="12">
        <v>0</v>
      </c>
      <c r="D14" s="12">
        <v>0</v>
      </c>
      <c r="E14" s="12" t="s">
        <v>870</v>
      </c>
      <c r="F14" s="12">
        <v>0</v>
      </c>
      <c r="G14" s="12">
        <v>0</v>
      </c>
      <c r="H14" s="28" t="s">
        <v>456</v>
      </c>
      <c r="I14" s="28">
        <v>1</v>
      </c>
      <c r="J14" s="28">
        <v>17</v>
      </c>
      <c r="K14" s="28">
        <v>5</v>
      </c>
      <c r="L14" s="12" t="s">
        <v>455</v>
      </c>
      <c r="M14" s="12">
        <v>9909918751</v>
      </c>
      <c r="N14" s="12" t="s">
        <v>871</v>
      </c>
      <c r="O14" s="12" t="s">
        <v>700</v>
      </c>
      <c r="P14" s="12">
        <v>0</v>
      </c>
      <c r="Q14" s="12">
        <v>0</v>
      </c>
      <c r="R14" s="12">
        <v>0</v>
      </c>
      <c r="S14" s="12">
        <v>0</v>
      </c>
      <c r="T14" s="12">
        <v>0</v>
      </c>
      <c r="U14" s="12">
        <v>0</v>
      </c>
      <c r="V14" s="12">
        <v>0</v>
      </c>
      <c r="W14" s="12">
        <v>0</v>
      </c>
      <c r="X14" s="12">
        <v>0</v>
      </c>
      <c r="Y14" s="12">
        <v>0</v>
      </c>
      <c r="Z14" s="12">
        <v>0</v>
      </c>
      <c r="AA14" s="12">
        <v>0</v>
      </c>
      <c r="AB14" s="12">
        <v>0</v>
      </c>
      <c r="AC14" s="12">
        <v>0</v>
      </c>
      <c r="AD14" s="12">
        <v>0</v>
      </c>
      <c r="AE14" s="12">
        <v>0</v>
      </c>
      <c r="AF14" s="12" t="s">
        <v>1083</v>
      </c>
      <c r="AG14" s="12">
        <v>0</v>
      </c>
      <c r="AH14" s="12">
        <v>0</v>
      </c>
      <c r="AI14" s="12">
        <v>0</v>
      </c>
      <c r="AJ14" s="12">
        <v>0</v>
      </c>
      <c r="AK14" s="12">
        <v>0</v>
      </c>
      <c r="AL14" s="12">
        <f t="shared" si="0"/>
        <v>0</v>
      </c>
      <c r="AM14" s="22">
        <v>11455</v>
      </c>
      <c r="AN14" s="22">
        <v>1000</v>
      </c>
      <c r="AO14" s="22">
        <v>400</v>
      </c>
      <c r="AP14" s="22">
        <v>0</v>
      </c>
      <c r="AQ14" s="16">
        <v>12</v>
      </c>
      <c r="AR14" s="16">
        <v>600</v>
      </c>
      <c r="AS14" s="12">
        <v>0</v>
      </c>
      <c r="AT14" s="12">
        <v>0</v>
      </c>
      <c r="AU14" s="12">
        <v>0</v>
      </c>
      <c r="AV14" s="12">
        <v>0</v>
      </c>
      <c r="AW14" s="12">
        <v>0</v>
      </c>
      <c r="AX14" s="12">
        <v>0</v>
      </c>
      <c r="AY14" s="12">
        <v>0</v>
      </c>
      <c r="AZ14" s="12">
        <v>0</v>
      </c>
      <c r="BA14" s="12">
        <v>0</v>
      </c>
      <c r="BB14" s="12">
        <v>0</v>
      </c>
      <c r="BC14" s="13">
        <f t="shared" si="7"/>
        <v>11455</v>
      </c>
      <c r="BD14" s="13">
        <f t="shared" si="10"/>
        <v>1000</v>
      </c>
      <c r="BE14" s="13">
        <f t="shared" si="8"/>
        <v>400</v>
      </c>
      <c r="BF14" s="22">
        <f t="shared" si="9"/>
        <v>0</v>
      </c>
      <c r="BG14" s="16">
        <f t="shared" si="2"/>
        <v>12</v>
      </c>
      <c r="BH14" s="16">
        <f t="shared" si="6"/>
        <v>600</v>
      </c>
      <c r="BI14" s="12">
        <v>0</v>
      </c>
      <c r="BJ14" s="12">
        <v>0</v>
      </c>
      <c r="BK14" s="12">
        <v>0</v>
      </c>
      <c r="BL14" s="12">
        <v>0</v>
      </c>
      <c r="BM14" s="12">
        <v>0</v>
      </c>
      <c r="BN14" s="12">
        <v>0</v>
      </c>
      <c r="BO14" s="12">
        <v>0</v>
      </c>
      <c r="BP14" s="12">
        <v>0</v>
      </c>
      <c r="BQ14" s="18">
        <v>0</v>
      </c>
      <c r="BR14" s="12">
        <v>0</v>
      </c>
      <c r="BS14" s="22">
        <v>9.75</v>
      </c>
      <c r="BT14" s="17">
        <v>375</v>
      </c>
      <c r="BU14" s="12" t="s">
        <v>457</v>
      </c>
      <c r="BV14" s="12" t="s">
        <v>872</v>
      </c>
      <c r="BW14" s="12" t="s">
        <v>458</v>
      </c>
      <c r="BX14" s="12">
        <v>7600007401</v>
      </c>
      <c r="BY14" s="12" t="s">
        <v>871</v>
      </c>
      <c r="BZ14" s="12" t="s">
        <v>700</v>
      </c>
      <c r="CA14" s="12" t="s">
        <v>1089</v>
      </c>
      <c r="CB14" s="12">
        <v>0</v>
      </c>
      <c r="CC14" s="12">
        <v>5000</v>
      </c>
      <c r="CD14" s="12">
        <v>5000</v>
      </c>
      <c r="CE14" s="18">
        <v>12.75</v>
      </c>
      <c r="CF14" s="17">
        <v>11110</v>
      </c>
      <c r="CG14" s="12">
        <v>2.2000000000000002</v>
      </c>
      <c r="CH14" s="19" t="s">
        <v>340</v>
      </c>
      <c r="CI14" s="12">
        <v>1000</v>
      </c>
      <c r="CJ14" s="18">
        <f>+CI14/9.5</f>
        <v>105.26315789473684</v>
      </c>
      <c r="CK14" s="18" t="s">
        <v>142</v>
      </c>
      <c r="CL14" s="18">
        <f>+CJ14/18</f>
        <v>5.8479532163742682</v>
      </c>
      <c r="CM14" s="12" t="s">
        <v>340</v>
      </c>
      <c r="CN14" s="12" t="s">
        <v>108</v>
      </c>
      <c r="CO14" s="19" t="s">
        <v>340</v>
      </c>
      <c r="CP14" s="12">
        <v>0</v>
      </c>
      <c r="CQ14" s="12">
        <v>0</v>
      </c>
      <c r="CR14" s="12">
        <v>0</v>
      </c>
      <c r="CS14" s="12">
        <v>0</v>
      </c>
      <c r="CT14" s="12">
        <v>0</v>
      </c>
      <c r="CU14" s="12" t="s">
        <v>451</v>
      </c>
      <c r="CV14" s="12" t="s">
        <v>452</v>
      </c>
      <c r="CW14" s="12">
        <v>9099166999</v>
      </c>
      <c r="CX14" s="12" t="s">
        <v>873</v>
      </c>
      <c r="CY14" s="12" t="s">
        <v>453</v>
      </c>
      <c r="CZ14" s="12">
        <f>1019-6</f>
        <v>1013</v>
      </c>
      <c r="DA14" s="12">
        <v>0</v>
      </c>
      <c r="DB14" s="12" t="s">
        <v>874</v>
      </c>
      <c r="DC14" s="12">
        <v>111</v>
      </c>
      <c r="DD14" s="12">
        <v>21</v>
      </c>
      <c r="DE14" s="12">
        <v>21000</v>
      </c>
      <c r="DF14" s="21" t="str">
        <f t="shared" si="3"/>
        <v>Photos\New\SURAT.pptx</v>
      </c>
      <c r="DG14" s="21" t="str">
        <f t="shared" si="4"/>
        <v>Videos\New\SURAT</v>
      </c>
      <c r="DH14" s="21" t="str">
        <f t="shared" si="5"/>
        <v>Manpower\SURAT.pptx</v>
      </c>
    </row>
    <row r="15" spans="1:112" ht="15.75" customHeight="1" x14ac:dyDescent="0.35">
      <c r="A15" s="12" t="s">
        <v>469</v>
      </c>
      <c r="B15" s="12" t="s">
        <v>476</v>
      </c>
      <c r="C15" s="12">
        <v>0</v>
      </c>
      <c r="D15" s="12">
        <v>0</v>
      </c>
      <c r="E15" s="12" t="s">
        <v>875</v>
      </c>
      <c r="F15" s="12">
        <v>0</v>
      </c>
      <c r="G15" s="12">
        <v>0</v>
      </c>
      <c r="H15" s="28" t="s">
        <v>477</v>
      </c>
      <c r="I15" s="28">
        <v>5</v>
      </c>
      <c r="J15" s="28">
        <v>10</v>
      </c>
      <c r="K15" s="28">
        <v>5</v>
      </c>
      <c r="L15" s="12" t="s">
        <v>478</v>
      </c>
      <c r="M15" s="12">
        <v>9956190057</v>
      </c>
      <c r="N15" s="12" t="s">
        <v>701</v>
      </c>
      <c r="O15" s="12" t="s">
        <v>702</v>
      </c>
      <c r="P15" s="12">
        <v>0</v>
      </c>
      <c r="Q15" s="12">
        <v>0</v>
      </c>
      <c r="R15" s="12">
        <v>0</v>
      </c>
      <c r="S15" s="12">
        <v>0</v>
      </c>
      <c r="T15" s="12">
        <v>0</v>
      </c>
      <c r="U15" s="12">
        <v>0</v>
      </c>
      <c r="V15" s="12">
        <v>0</v>
      </c>
      <c r="W15" s="12">
        <v>0</v>
      </c>
      <c r="X15" s="12">
        <v>0</v>
      </c>
      <c r="Y15" s="12">
        <v>0</v>
      </c>
      <c r="Z15" s="12">
        <v>0</v>
      </c>
      <c r="AA15" s="12">
        <v>0</v>
      </c>
      <c r="AB15" s="12">
        <v>0</v>
      </c>
      <c r="AC15" s="12">
        <v>0</v>
      </c>
      <c r="AD15" s="12">
        <v>0</v>
      </c>
      <c r="AE15" s="12">
        <v>0</v>
      </c>
      <c r="AF15" s="12" t="s">
        <v>1083</v>
      </c>
      <c r="AG15" s="12">
        <v>0</v>
      </c>
      <c r="AH15" s="12">
        <v>0</v>
      </c>
      <c r="AI15" s="12">
        <v>0</v>
      </c>
      <c r="AJ15" s="12">
        <v>0</v>
      </c>
      <c r="AK15" s="12">
        <v>0</v>
      </c>
      <c r="AL15" s="12">
        <f t="shared" si="0"/>
        <v>0</v>
      </c>
      <c r="AM15" s="22">
        <v>11057</v>
      </c>
      <c r="AN15" s="22">
        <v>0</v>
      </c>
      <c r="AO15" s="22">
        <v>0</v>
      </c>
      <c r="AP15" s="22">
        <v>0</v>
      </c>
      <c r="AQ15" s="16">
        <v>12.25</v>
      </c>
      <c r="AR15" s="16">
        <v>625</v>
      </c>
      <c r="AS15" s="12">
        <v>0</v>
      </c>
      <c r="AT15" s="12">
        <v>0</v>
      </c>
      <c r="AU15" s="12">
        <v>0</v>
      </c>
      <c r="AV15" s="12">
        <v>0</v>
      </c>
      <c r="AW15" s="12">
        <v>0</v>
      </c>
      <c r="AX15" s="12">
        <v>0</v>
      </c>
      <c r="AY15" s="12">
        <v>0</v>
      </c>
      <c r="AZ15" s="12">
        <v>0</v>
      </c>
      <c r="BA15" s="12">
        <v>0</v>
      </c>
      <c r="BB15" s="12">
        <v>0</v>
      </c>
      <c r="BC15" s="13">
        <f t="shared" si="7"/>
        <v>11057</v>
      </c>
      <c r="BD15" s="13">
        <f t="shared" si="10"/>
        <v>0</v>
      </c>
      <c r="BE15" s="13">
        <f t="shared" si="8"/>
        <v>0</v>
      </c>
      <c r="BF15" s="22">
        <f t="shared" si="9"/>
        <v>0</v>
      </c>
      <c r="BG15" s="16">
        <f t="shared" si="2"/>
        <v>12.25</v>
      </c>
      <c r="BH15" s="16">
        <f t="shared" si="6"/>
        <v>625</v>
      </c>
      <c r="BI15" s="12" t="s">
        <v>479</v>
      </c>
      <c r="BJ15" s="12" t="s">
        <v>875</v>
      </c>
      <c r="BK15" s="12" t="s">
        <v>480</v>
      </c>
      <c r="BL15" s="12">
        <v>9415559746</v>
      </c>
      <c r="BM15" s="12" t="s">
        <v>703</v>
      </c>
      <c r="BN15" s="12" t="s">
        <v>704</v>
      </c>
      <c r="BO15" s="12" t="s">
        <v>1085</v>
      </c>
      <c r="BP15" s="12">
        <v>0</v>
      </c>
      <c r="BQ15" s="51">
        <v>757</v>
      </c>
      <c r="BR15" s="22">
        <v>757</v>
      </c>
      <c r="BS15" s="15">
        <v>10</v>
      </c>
      <c r="BT15" s="17">
        <v>400</v>
      </c>
      <c r="BU15" s="12" t="s">
        <v>479</v>
      </c>
      <c r="BV15" s="12" t="s">
        <v>875</v>
      </c>
      <c r="BW15" s="12" t="s">
        <v>480</v>
      </c>
      <c r="BX15" s="12">
        <v>9415559746</v>
      </c>
      <c r="BY15" s="12" t="s">
        <v>876</v>
      </c>
      <c r="BZ15" s="12" t="s">
        <v>705</v>
      </c>
      <c r="CA15" s="12" t="s">
        <v>1083</v>
      </c>
      <c r="CB15" s="12">
        <v>0</v>
      </c>
      <c r="CC15" s="17">
        <f>6000/5.45</f>
        <v>1100.9174311926606</v>
      </c>
      <c r="CD15" s="12">
        <v>1759</v>
      </c>
      <c r="CE15" s="18">
        <v>13</v>
      </c>
      <c r="CF15" s="17">
        <v>11120</v>
      </c>
      <c r="CG15" s="18">
        <v>2.2999999999999998</v>
      </c>
      <c r="CH15" s="19" t="s">
        <v>340</v>
      </c>
      <c r="CI15" s="12">
        <v>0</v>
      </c>
      <c r="CJ15" s="12">
        <v>0</v>
      </c>
      <c r="CK15" s="12" t="s">
        <v>142</v>
      </c>
      <c r="CL15" s="12">
        <v>0</v>
      </c>
      <c r="CM15" s="12" t="s">
        <v>142</v>
      </c>
      <c r="CN15" s="12" t="s">
        <v>142</v>
      </c>
      <c r="CO15" s="19" t="s">
        <v>340</v>
      </c>
      <c r="CP15" s="12">
        <v>0</v>
      </c>
      <c r="CQ15" s="12">
        <v>0</v>
      </c>
      <c r="CR15" s="12">
        <v>0</v>
      </c>
      <c r="CS15" s="12">
        <v>0</v>
      </c>
      <c r="CT15" s="12">
        <v>0</v>
      </c>
      <c r="CU15" s="12" t="s">
        <v>479</v>
      </c>
      <c r="CV15" s="12" t="s">
        <v>480</v>
      </c>
      <c r="CW15" s="12">
        <v>9415559746</v>
      </c>
      <c r="CX15" s="12" t="s">
        <v>875</v>
      </c>
      <c r="CY15" s="12" t="s">
        <v>481</v>
      </c>
      <c r="CZ15" s="12">
        <f>1018-5</f>
        <v>1013</v>
      </c>
      <c r="DA15" s="12">
        <v>0</v>
      </c>
      <c r="DB15" s="12" t="s">
        <v>877</v>
      </c>
      <c r="DC15" s="12">
        <v>112</v>
      </c>
      <c r="DD15" s="12">
        <v>22</v>
      </c>
      <c r="DE15" s="12">
        <v>22000</v>
      </c>
      <c r="DF15" s="21" t="str">
        <f t="shared" si="3"/>
        <v>Photos\New\GORAKHPUR.pptx</v>
      </c>
      <c r="DG15" s="21" t="str">
        <f t="shared" si="4"/>
        <v>Videos\New\GORAKHPUR</v>
      </c>
      <c r="DH15" s="21" t="str">
        <f t="shared" si="5"/>
        <v>Manpower\GORAKHPUR.pptx</v>
      </c>
    </row>
    <row r="16" spans="1:112" ht="15.75" customHeight="1" x14ac:dyDescent="0.35">
      <c r="A16" s="12" t="s">
        <v>260</v>
      </c>
      <c r="B16" s="12" t="s">
        <v>186</v>
      </c>
      <c r="C16" s="12">
        <v>0</v>
      </c>
      <c r="D16" s="12">
        <v>0</v>
      </c>
      <c r="E16" s="12" t="s">
        <v>878</v>
      </c>
      <c r="F16" s="12">
        <v>0</v>
      </c>
      <c r="G16" s="12">
        <v>0</v>
      </c>
      <c r="H16" s="28" t="s">
        <v>104</v>
      </c>
      <c r="I16" s="28">
        <v>1</v>
      </c>
      <c r="J16" s="28">
        <v>9</v>
      </c>
      <c r="K16" s="28">
        <v>1</v>
      </c>
      <c r="L16" s="12" t="s">
        <v>187</v>
      </c>
      <c r="M16" s="12">
        <v>9845077099</v>
      </c>
      <c r="N16" s="54" t="s">
        <v>879</v>
      </c>
      <c r="O16" s="12" t="s">
        <v>706</v>
      </c>
      <c r="P16" s="12">
        <v>0</v>
      </c>
      <c r="Q16" s="12">
        <v>0</v>
      </c>
      <c r="R16" s="12">
        <v>0</v>
      </c>
      <c r="S16" s="12">
        <v>0</v>
      </c>
      <c r="T16" s="12">
        <v>0</v>
      </c>
      <c r="U16" s="12">
        <v>0</v>
      </c>
      <c r="V16" s="12">
        <v>0</v>
      </c>
      <c r="W16" s="12">
        <v>0</v>
      </c>
      <c r="X16" s="12">
        <v>0</v>
      </c>
      <c r="Y16" s="12">
        <v>0</v>
      </c>
      <c r="Z16" s="12">
        <v>0</v>
      </c>
      <c r="AA16" s="12">
        <v>0</v>
      </c>
      <c r="AB16" s="12">
        <v>0</v>
      </c>
      <c r="AC16" s="12">
        <v>0</v>
      </c>
      <c r="AD16" s="12">
        <v>0</v>
      </c>
      <c r="AE16" s="12">
        <v>0</v>
      </c>
      <c r="AF16" s="12" t="s">
        <v>1083</v>
      </c>
      <c r="AG16" s="12">
        <v>0</v>
      </c>
      <c r="AH16" s="12">
        <v>0</v>
      </c>
      <c r="AI16" s="12">
        <v>0.75</v>
      </c>
      <c r="AJ16" s="12">
        <v>0</v>
      </c>
      <c r="AK16" s="12">
        <v>0</v>
      </c>
      <c r="AL16" s="12">
        <f t="shared" si="0"/>
        <v>0.75</v>
      </c>
      <c r="AM16" s="22">
        <v>5045</v>
      </c>
      <c r="AN16" s="22">
        <v>0</v>
      </c>
      <c r="AO16" s="22">
        <v>0</v>
      </c>
      <c r="AP16" s="22">
        <v>1511</v>
      </c>
      <c r="AQ16" s="16">
        <v>12.5</v>
      </c>
      <c r="AR16" s="16">
        <v>650</v>
      </c>
      <c r="AS16" s="12">
        <v>0</v>
      </c>
      <c r="AT16" s="12">
        <v>0</v>
      </c>
      <c r="AU16" s="12">
        <v>0</v>
      </c>
      <c r="AV16" s="12">
        <v>0</v>
      </c>
      <c r="AW16" s="12">
        <v>0</v>
      </c>
      <c r="AX16" s="12">
        <v>0</v>
      </c>
      <c r="AY16" s="12">
        <v>0</v>
      </c>
      <c r="AZ16" s="12">
        <v>0</v>
      </c>
      <c r="BA16" s="12">
        <v>0</v>
      </c>
      <c r="BB16" s="12">
        <v>0</v>
      </c>
      <c r="BC16" s="13">
        <f t="shared" si="7"/>
        <v>5045</v>
      </c>
      <c r="BD16" s="13">
        <f t="shared" si="10"/>
        <v>0</v>
      </c>
      <c r="BE16" s="13">
        <f t="shared" si="8"/>
        <v>0</v>
      </c>
      <c r="BF16" s="22">
        <f t="shared" si="9"/>
        <v>1511</v>
      </c>
      <c r="BG16" s="16">
        <f t="shared" si="2"/>
        <v>12.5</v>
      </c>
      <c r="BH16" s="16">
        <f t="shared" si="6"/>
        <v>650</v>
      </c>
      <c r="BI16" s="12" t="s">
        <v>188</v>
      </c>
      <c r="BJ16" s="12" t="s">
        <v>878</v>
      </c>
      <c r="BK16" s="12" t="s">
        <v>187</v>
      </c>
      <c r="BL16" s="12">
        <v>9845077099</v>
      </c>
      <c r="BM16" s="12" t="s">
        <v>880</v>
      </c>
      <c r="BN16" s="12" t="s">
        <v>706</v>
      </c>
      <c r="BO16" s="12">
        <v>0</v>
      </c>
      <c r="BP16" s="12">
        <v>0</v>
      </c>
      <c r="BQ16" s="51">
        <v>600</v>
      </c>
      <c r="BR16" s="22">
        <v>600</v>
      </c>
      <c r="BS16" s="22">
        <v>10.25</v>
      </c>
      <c r="BT16" s="17">
        <v>425</v>
      </c>
      <c r="BU16" s="12" t="s">
        <v>183</v>
      </c>
      <c r="BV16" s="12" t="s">
        <v>707</v>
      </c>
      <c r="BW16" s="12" t="s">
        <v>184</v>
      </c>
      <c r="BX16" s="12">
        <v>9841191111</v>
      </c>
      <c r="BY16" s="12" t="s">
        <v>881</v>
      </c>
      <c r="BZ16" s="12" t="s">
        <v>708</v>
      </c>
      <c r="CA16" s="12" t="s">
        <v>169</v>
      </c>
      <c r="CB16" s="12">
        <v>0.16</v>
      </c>
      <c r="CC16" s="12">
        <v>4500</v>
      </c>
      <c r="CD16" s="12">
        <v>4500</v>
      </c>
      <c r="CE16" s="18">
        <v>13.25</v>
      </c>
      <c r="CF16" s="12">
        <v>11130</v>
      </c>
      <c r="CG16" s="18">
        <v>2.4</v>
      </c>
      <c r="CH16" s="19" t="s">
        <v>340</v>
      </c>
      <c r="CI16" s="12">
        <v>0</v>
      </c>
      <c r="CJ16" s="12">
        <v>0</v>
      </c>
      <c r="CK16" s="12" t="s">
        <v>142</v>
      </c>
      <c r="CL16" s="12">
        <v>0</v>
      </c>
      <c r="CM16" s="12" t="s">
        <v>142</v>
      </c>
      <c r="CN16" s="12" t="s">
        <v>142</v>
      </c>
      <c r="CO16" s="19" t="s">
        <v>340</v>
      </c>
      <c r="CP16" s="12">
        <v>0</v>
      </c>
      <c r="CQ16" s="12">
        <v>0</v>
      </c>
      <c r="CR16" s="12">
        <v>0</v>
      </c>
      <c r="CS16" s="12">
        <v>0</v>
      </c>
      <c r="CT16" s="12">
        <v>0</v>
      </c>
      <c r="CU16" s="12" t="s">
        <v>183</v>
      </c>
      <c r="CV16" s="12" t="s">
        <v>184</v>
      </c>
      <c r="CW16" s="12">
        <v>9841191111</v>
      </c>
      <c r="CX16" s="12" t="s">
        <v>707</v>
      </c>
      <c r="CY16" s="12" t="s">
        <v>185</v>
      </c>
      <c r="CZ16" s="12">
        <f>1019-15</f>
        <v>1004</v>
      </c>
      <c r="DA16" s="12">
        <v>0</v>
      </c>
      <c r="DB16" s="12" t="s">
        <v>831</v>
      </c>
      <c r="DC16" s="12">
        <v>113</v>
      </c>
      <c r="DD16" s="12">
        <v>23</v>
      </c>
      <c r="DE16" s="12">
        <v>23000</v>
      </c>
      <c r="DF16" s="21" t="str">
        <f t="shared" si="3"/>
        <v>Photos\New\COIMBATORE.pptx</v>
      </c>
      <c r="DG16" s="21" t="str">
        <f t="shared" si="4"/>
        <v>Videos\New\COIMBATORE</v>
      </c>
      <c r="DH16" s="21" t="str">
        <f t="shared" si="5"/>
        <v>Manpower\COIMBATORE.pptx</v>
      </c>
    </row>
    <row r="17" spans="1:112" ht="15.75" customHeight="1" x14ac:dyDescent="0.35">
      <c r="A17" s="12" t="s">
        <v>410</v>
      </c>
      <c r="B17" s="12" t="s">
        <v>411</v>
      </c>
      <c r="C17" s="12">
        <v>0</v>
      </c>
      <c r="D17" s="12">
        <v>0</v>
      </c>
      <c r="E17" s="12" t="s">
        <v>412</v>
      </c>
      <c r="F17" s="12">
        <v>0</v>
      </c>
      <c r="G17" s="12">
        <v>0</v>
      </c>
      <c r="H17" s="28" t="s">
        <v>104</v>
      </c>
      <c r="I17" s="28">
        <v>5</v>
      </c>
      <c r="J17" s="28">
        <v>17</v>
      </c>
      <c r="K17" s="28">
        <v>1</v>
      </c>
      <c r="L17" s="12" t="s">
        <v>413</v>
      </c>
      <c r="M17" s="12">
        <v>9406505500</v>
      </c>
      <c r="N17" s="12" t="s">
        <v>882</v>
      </c>
      <c r="O17" s="12" t="s">
        <v>709</v>
      </c>
      <c r="P17" s="12">
        <v>0</v>
      </c>
      <c r="Q17" s="12">
        <v>0</v>
      </c>
      <c r="R17" s="12">
        <v>0</v>
      </c>
      <c r="S17" s="12">
        <v>0</v>
      </c>
      <c r="T17" s="12">
        <v>0</v>
      </c>
      <c r="U17" s="12">
        <v>0</v>
      </c>
      <c r="V17" s="12">
        <v>0</v>
      </c>
      <c r="W17" s="12">
        <v>0</v>
      </c>
      <c r="X17" s="12">
        <v>0</v>
      </c>
      <c r="Y17" s="12">
        <v>0</v>
      </c>
      <c r="Z17" s="12">
        <v>0</v>
      </c>
      <c r="AA17" s="12">
        <v>0</v>
      </c>
      <c r="AB17" s="12">
        <v>0</v>
      </c>
      <c r="AC17" s="12">
        <v>0</v>
      </c>
      <c r="AD17" s="12">
        <v>0</v>
      </c>
      <c r="AE17" s="12">
        <v>0</v>
      </c>
      <c r="AF17" s="12" t="s">
        <v>1093</v>
      </c>
      <c r="AG17" s="12">
        <v>0</v>
      </c>
      <c r="AH17" s="12">
        <v>0</v>
      </c>
      <c r="AI17" s="12">
        <v>0</v>
      </c>
      <c r="AJ17" s="12">
        <v>0</v>
      </c>
      <c r="AK17" s="12">
        <v>0</v>
      </c>
      <c r="AL17" s="12">
        <f t="shared" si="0"/>
        <v>0</v>
      </c>
      <c r="AM17" s="22">
        <v>7610</v>
      </c>
      <c r="AN17" s="22">
        <v>506</v>
      </c>
      <c r="AO17" s="22">
        <v>0</v>
      </c>
      <c r="AP17" s="22">
        <v>0</v>
      </c>
      <c r="AQ17" s="16">
        <v>12.75</v>
      </c>
      <c r="AR17" s="16">
        <v>675</v>
      </c>
      <c r="AS17" s="12">
        <v>0</v>
      </c>
      <c r="AT17" s="12">
        <v>0</v>
      </c>
      <c r="AU17" s="12">
        <v>0</v>
      </c>
      <c r="AV17" s="12">
        <v>0</v>
      </c>
      <c r="AW17" s="12">
        <v>0</v>
      </c>
      <c r="AX17" s="12">
        <v>0</v>
      </c>
      <c r="AY17" s="12">
        <v>0</v>
      </c>
      <c r="AZ17" s="12">
        <v>0</v>
      </c>
      <c r="BA17" s="12">
        <v>0</v>
      </c>
      <c r="BB17" s="12">
        <v>0</v>
      </c>
      <c r="BC17" s="13">
        <f t="shared" si="7"/>
        <v>7610</v>
      </c>
      <c r="BD17" s="13">
        <f t="shared" si="10"/>
        <v>506</v>
      </c>
      <c r="BE17" s="13">
        <f t="shared" si="8"/>
        <v>0</v>
      </c>
      <c r="BF17" s="22">
        <f t="shared" si="9"/>
        <v>0</v>
      </c>
      <c r="BG17" s="16">
        <f t="shared" si="2"/>
        <v>12.75</v>
      </c>
      <c r="BH17" s="16">
        <f t="shared" si="6"/>
        <v>675</v>
      </c>
      <c r="BI17" s="12">
        <v>0</v>
      </c>
      <c r="BJ17" s="12">
        <v>0</v>
      </c>
      <c r="BK17" s="12">
        <v>0</v>
      </c>
      <c r="BL17" s="12">
        <v>0</v>
      </c>
      <c r="BM17" s="12">
        <v>0</v>
      </c>
      <c r="BN17" s="12">
        <v>0</v>
      </c>
      <c r="BO17" s="12">
        <v>0</v>
      </c>
      <c r="BP17" s="12">
        <v>0</v>
      </c>
      <c r="BQ17" s="18">
        <v>0</v>
      </c>
      <c r="BR17" s="12">
        <v>0</v>
      </c>
      <c r="BS17" s="22">
        <v>10.5</v>
      </c>
      <c r="BT17" s="17">
        <v>450</v>
      </c>
      <c r="BU17" s="12" t="s">
        <v>414</v>
      </c>
      <c r="BV17" s="12" t="s">
        <v>412</v>
      </c>
      <c r="BW17" s="12" t="s">
        <v>415</v>
      </c>
      <c r="BX17" s="12">
        <v>9817056511</v>
      </c>
      <c r="BY17" s="12" t="s">
        <v>882</v>
      </c>
      <c r="BZ17" s="12" t="s">
        <v>709</v>
      </c>
      <c r="CA17" s="12" t="s">
        <v>883</v>
      </c>
      <c r="CB17" s="12">
        <v>0</v>
      </c>
      <c r="CC17" s="12">
        <v>8556</v>
      </c>
      <c r="CD17" s="12">
        <v>5441</v>
      </c>
      <c r="CE17" s="18">
        <v>13.5</v>
      </c>
      <c r="CF17" s="17">
        <v>11140</v>
      </c>
      <c r="CG17" s="12">
        <v>2.5</v>
      </c>
      <c r="CH17" s="19" t="s">
        <v>340</v>
      </c>
      <c r="CI17" s="12">
        <v>506</v>
      </c>
      <c r="CJ17" s="18">
        <f>+CI17/9.5</f>
        <v>53.263157894736842</v>
      </c>
      <c r="CK17" s="12" t="s">
        <v>142</v>
      </c>
      <c r="CL17" s="18">
        <f>+CJ17/18</f>
        <v>2.9590643274853803</v>
      </c>
      <c r="CM17" s="12" t="s">
        <v>340</v>
      </c>
      <c r="CN17" s="12" t="s">
        <v>108</v>
      </c>
      <c r="CO17" s="19" t="s">
        <v>340</v>
      </c>
      <c r="CP17" s="12">
        <v>0</v>
      </c>
      <c r="CQ17" s="12">
        <v>0</v>
      </c>
      <c r="CR17" s="12">
        <v>0</v>
      </c>
      <c r="CS17" s="12">
        <v>0</v>
      </c>
      <c r="CT17" s="12">
        <v>0</v>
      </c>
      <c r="CU17" s="12" t="s">
        <v>414</v>
      </c>
      <c r="CV17" s="12" t="s">
        <v>415</v>
      </c>
      <c r="CW17" s="12">
        <v>9817056511</v>
      </c>
      <c r="CX17" s="12" t="s">
        <v>416</v>
      </c>
      <c r="CY17" s="12" t="s">
        <v>417</v>
      </c>
      <c r="CZ17" s="12" t="s">
        <v>142</v>
      </c>
      <c r="DA17" s="12">
        <v>0</v>
      </c>
      <c r="DB17" s="12" t="s">
        <v>884</v>
      </c>
      <c r="DC17" s="12">
        <v>114</v>
      </c>
      <c r="DD17" s="12">
        <v>24</v>
      </c>
      <c r="DE17" s="12">
        <v>24000</v>
      </c>
      <c r="DF17" s="21" t="str">
        <f t="shared" si="3"/>
        <v>Photos\New\GWALIOR.pptx</v>
      </c>
      <c r="DG17" s="21" t="str">
        <f t="shared" si="4"/>
        <v>Videos\New\GWALIOR</v>
      </c>
      <c r="DH17" s="21" t="str">
        <f t="shared" si="5"/>
        <v>Manpower\GWALIOR.pptx</v>
      </c>
    </row>
    <row r="18" spans="1:112" ht="15.75" customHeight="1" x14ac:dyDescent="0.35">
      <c r="A18" s="24" t="s">
        <v>482</v>
      </c>
      <c r="B18" s="12" t="s">
        <v>491</v>
      </c>
      <c r="C18" s="12">
        <v>0</v>
      </c>
      <c r="D18" s="12">
        <v>0</v>
      </c>
      <c r="E18" s="12" t="s">
        <v>885</v>
      </c>
      <c r="F18" s="12">
        <v>0</v>
      </c>
      <c r="G18" s="12">
        <v>0</v>
      </c>
      <c r="H18" s="28" t="s">
        <v>291</v>
      </c>
      <c r="I18" s="28">
        <v>4</v>
      </c>
      <c r="J18" s="28">
        <v>15</v>
      </c>
      <c r="K18" s="28">
        <v>8</v>
      </c>
      <c r="L18" s="12" t="s">
        <v>618</v>
      </c>
      <c r="M18" s="12">
        <v>9517084570</v>
      </c>
      <c r="N18" s="12" t="s">
        <v>886</v>
      </c>
      <c r="O18" s="12" t="s">
        <v>710</v>
      </c>
      <c r="P18" s="12">
        <v>0</v>
      </c>
      <c r="Q18" s="12">
        <v>0</v>
      </c>
      <c r="R18" s="12">
        <v>0</v>
      </c>
      <c r="S18" s="12">
        <v>0</v>
      </c>
      <c r="T18" s="12">
        <v>0</v>
      </c>
      <c r="U18" s="12">
        <v>0</v>
      </c>
      <c r="V18" s="12">
        <v>0</v>
      </c>
      <c r="W18" s="12">
        <v>0</v>
      </c>
      <c r="X18" s="12">
        <v>0</v>
      </c>
      <c r="Y18" s="12">
        <v>0</v>
      </c>
      <c r="Z18" s="12">
        <v>0</v>
      </c>
      <c r="AA18" s="12">
        <v>0</v>
      </c>
      <c r="AB18" s="12">
        <v>0</v>
      </c>
      <c r="AC18" s="12">
        <v>0</v>
      </c>
      <c r="AD18" s="12">
        <v>0</v>
      </c>
      <c r="AE18" s="12">
        <v>0</v>
      </c>
      <c r="AF18" s="12" t="s">
        <v>1083</v>
      </c>
      <c r="AG18" s="12">
        <v>0</v>
      </c>
      <c r="AH18" s="12">
        <v>0</v>
      </c>
      <c r="AI18" s="12">
        <v>5.61</v>
      </c>
      <c r="AJ18" s="12">
        <v>0</v>
      </c>
      <c r="AK18" s="12">
        <v>0</v>
      </c>
      <c r="AL18" s="12">
        <f t="shared" si="0"/>
        <v>5.61</v>
      </c>
      <c r="AM18" s="22">
        <v>17000</v>
      </c>
      <c r="AN18" s="22">
        <v>0</v>
      </c>
      <c r="AO18" s="22">
        <v>0</v>
      </c>
      <c r="AP18" s="22">
        <v>0</v>
      </c>
      <c r="AQ18" s="16">
        <v>13</v>
      </c>
      <c r="AR18" s="16">
        <v>700</v>
      </c>
      <c r="AS18" s="12">
        <v>0</v>
      </c>
      <c r="AT18" s="12">
        <v>0</v>
      </c>
      <c r="AU18" s="12">
        <v>0</v>
      </c>
      <c r="AV18" s="12">
        <v>0</v>
      </c>
      <c r="AW18" s="12">
        <v>0</v>
      </c>
      <c r="AX18" s="12">
        <v>0</v>
      </c>
      <c r="AY18" s="12">
        <v>0</v>
      </c>
      <c r="AZ18" s="12">
        <v>0</v>
      </c>
      <c r="BA18" s="12">
        <v>0</v>
      </c>
      <c r="BB18" s="12">
        <v>0</v>
      </c>
      <c r="BC18" s="13">
        <f t="shared" si="7"/>
        <v>17000</v>
      </c>
      <c r="BD18" s="13">
        <f t="shared" si="10"/>
        <v>0</v>
      </c>
      <c r="BE18" s="13">
        <f t="shared" si="8"/>
        <v>0</v>
      </c>
      <c r="BF18" s="22">
        <f t="shared" si="9"/>
        <v>0</v>
      </c>
      <c r="BG18" s="16">
        <f t="shared" si="2"/>
        <v>13</v>
      </c>
      <c r="BH18" s="16">
        <v>950</v>
      </c>
      <c r="BI18" s="12" t="s">
        <v>502</v>
      </c>
      <c r="BJ18" s="12" t="s">
        <v>887</v>
      </c>
      <c r="BK18" s="12" t="s">
        <v>503</v>
      </c>
      <c r="BL18" s="12">
        <v>9815744055</v>
      </c>
      <c r="BM18" s="12" t="s">
        <v>888</v>
      </c>
      <c r="BN18" s="12" t="s">
        <v>711</v>
      </c>
      <c r="BO18" s="12" t="s">
        <v>112</v>
      </c>
      <c r="BP18" s="12">
        <v>0</v>
      </c>
      <c r="BQ18" s="18">
        <v>5578</v>
      </c>
      <c r="BR18" s="12">
        <v>5578</v>
      </c>
      <c r="BS18" s="22">
        <v>10.75</v>
      </c>
      <c r="BT18" s="17">
        <v>475</v>
      </c>
      <c r="BU18" s="12" t="s">
        <v>504</v>
      </c>
      <c r="BV18" s="23" t="s">
        <v>889</v>
      </c>
      <c r="BW18" s="12" t="s">
        <v>505</v>
      </c>
      <c r="BX18" s="12">
        <v>9815415611</v>
      </c>
      <c r="BY18" s="12" t="s">
        <v>862</v>
      </c>
      <c r="BZ18" s="12" t="s">
        <v>712</v>
      </c>
      <c r="CA18" s="12" t="s">
        <v>1089</v>
      </c>
      <c r="CB18" s="12">
        <v>0</v>
      </c>
      <c r="CC18" s="12">
        <v>5000</v>
      </c>
      <c r="CD18" s="12">
        <v>5000</v>
      </c>
      <c r="CE18" s="18">
        <v>13.75</v>
      </c>
      <c r="CF18" s="17">
        <v>11150</v>
      </c>
      <c r="CG18" s="18">
        <v>2.6</v>
      </c>
      <c r="CH18" s="19" t="s">
        <v>340</v>
      </c>
      <c r="CI18" s="12">
        <v>0</v>
      </c>
      <c r="CJ18" s="12">
        <v>0</v>
      </c>
      <c r="CK18" s="12" t="s">
        <v>142</v>
      </c>
      <c r="CL18" s="12">
        <v>0</v>
      </c>
      <c r="CM18" s="12" t="s">
        <v>142</v>
      </c>
      <c r="CN18" s="12" t="s">
        <v>142</v>
      </c>
      <c r="CO18" s="19" t="s">
        <v>340</v>
      </c>
      <c r="CP18" s="12">
        <v>0</v>
      </c>
      <c r="CQ18" s="12">
        <v>0</v>
      </c>
      <c r="CR18" s="12">
        <v>0</v>
      </c>
      <c r="CS18" s="12">
        <v>0</v>
      </c>
      <c r="CT18" s="12">
        <v>0</v>
      </c>
      <c r="CU18" s="12" t="s">
        <v>491</v>
      </c>
      <c r="CV18" s="12" t="s">
        <v>494</v>
      </c>
      <c r="CW18" s="12">
        <v>9815057041</v>
      </c>
      <c r="CX18" s="12" t="s">
        <v>890</v>
      </c>
      <c r="CY18" s="12" t="s">
        <v>495</v>
      </c>
      <c r="CZ18" s="12">
        <f>1019-55</f>
        <v>964</v>
      </c>
      <c r="DA18" s="12">
        <v>0</v>
      </c>
      <c r="DB18" s="12" t="s">
        <v>861</v>
      </c>
      <c r="DC18" s="12">
        <v>115</v>
      </c>
      <c r="DD18" s="12">
        <v>25</v>
      </c>
      <c r="DE18" s="12">
        <v>25000</v>
      </c>
      <c r="DF18" s="21" t="str">
        <f t="shared" si="3"/>
        <v>Photos\New\AHMEDABAD.pptx</v>
      </c>
      <c r="DG18" s="21" t="str">
        <f t="shared" si="4"/>
        <v>Videos\New\AHMEDABAD</v>
      </c>
      <c r="DH18" s="21" t="str">
        <f t="shared" si="5"/>
        <v>Manpower\AHMEDABAD.pptx</v>
      </c>
    </row>
    <row r="19" spans="1:112" ht="15.75" customHeight="1" x14ac:dyDescent="0.35">
      <c r="A19" s="12" t="s">
        <v>259</v>
      </c>
      <c r="B19" s="12" t="s">
        <v>570</v>
      </c>
      <c r="C19" s="12" t="s">
        <v>572</v>
      </c>
      <c r="D19" s="12">
        <v>0</v>
      </c>
      <c r="E19" s="12" t="s">
        <v>713</v>
      </c>
      <c r="F19" s="12" t="s">
        <v>196</v>
      </c>
      <c r="G19" s="12">
        <v>0</v>
      </c>
      <c r="H19" s="28" t="s">
        <v>291</v>
      </c>
      <c r="I19" s="28">
        <v>5</v>
      </c>
      <c r="J19" s="28">
        <v>14</v>
      </c>
      <c r="K19" s="28">
        <v>1</v>
      </c>
      <c r="L19" s="12" t="s">
        <v>621</v>
      </c>
      <c r="M19" s="12">
        <v>0</v>
      </c>
      <c r="N19" s="54" t="s">
        <v>714</v>
      </c>
      <c r="O19" s="12" t="s">
        <v>715</v>
      </c>
      <c r="P19" s="28" t="s">
        <v>170</v>
      </c>
      <c r="Q19" s="28">
        <v>1</v>
      </c>
      <c r="R19" s="28">
        <v>11</v>
      </c>
      <c r="S19" s="28">
        <v>1</v>
      </c>
      <c r="T19" s="12" t="s">
        <v>571</v>
      </c>
      <c r="U19" s="54">
        <v>9440851911</v>
      </c>
      <c r="V19" s="54" t="s">
        <v>716</v>
      </c>
      <c r="W19" s="12" t="s">
        <v>717</v>
      </c>
      <c r="X19" s="28">
        <v>0</v>
      </c>
      <c r="Y19" s="28">
        <v>0</v>
      </c>
      <c r="Z19" s="28">
        <v>0</v>
      </c>
      <c r="AA19" s="28">
        <v>0</v>
      </c>
      <c r="AB19" s="28">
        <v>0</v>
      </c>
      <c r="AC19" s="28">
        <v>0</v>
      </c>
      <c r="AD19" s="28">
        <v>0</v>
      </c>
      <c r="AE19" s="28">
        <v>0</v>
      </c>
      <c r="AF19" s="12" t="s">
        <v>1083</v>
      </c>
      <c r="AG19" s="12" t="s">
        <v>1083</v>
      </c>
      <c r="AH19" s="12">
        <v>0</v>
      </c>
      <c r="AI19" s="12">
        <v>1.88</v>
      </c>
      <c r="AJ19" s="12">
        <v>1.71</v>
      </c>
      <c r="AK19" s="12">
        <v>0</v>
      </c>
      <c r="AL19" s="12">
        <f>SUM(AI9:AK9)</f>
        <v>5.6</v>
      </c>
      <c r="AM19" s="22">
        <v>4140</v>
      </c>
      <c r="AN19" s="22">
        <v>0</v>
      </c>
      <c r="AO19" s="22">
        <v>0</v>
      </c>
      <c r="AP19" s="22">
        <v>0</v>
      </c>
      <c r="AQ19" s="16">
        <v>13.25</v>
      </c>
      <c r="AR19" s="16">
        <v>725</v>
      </c>
      <c r="AS19" s="22">
        <v>8017</v>
      </c>
      <c r="AT19" s="55">
        <f>5000/9.5</f>
        <v>526.31578947368416</v>
      </c>
      <c r="AU19" s="22">
        <v>750</v>
      </c>
      <c r="AV19" s="22">
        <v>0</v>
      </c>
      <c r="AW19" s="16">
        <v>14.59</v>
      </c>
      <c r="AX19" s="22">
        <v>0</v>
      </c>
      <c r="AY19" s="22">
        <v>0</v>
      </c>
      <c r="AZ19" s="22">
        <v>0</v>
      </c>
      <c r="BA19" s="22">
        <v>0</v>
      </c>
      <c r="BB19" s="16">
        <v>0</v>
      </c>
      <c r="BC19" s="25">
        <f t="shared" ref="BC19:BF20" si="11">SUM(AM9,AS9,AX9)</f>
        <v>11000</v>
      </c>
      <c r="BD19" s="26">
        <f t="shared" si="11"/>
        <v>0</v>
      </c>
      <c r="BE19" s="25">
        <f t="shared" si="11"/>
        <v>0</v>
      </c>
      <c r="BF19" s="25">
        <f t="shared" si="11"/>
        <v>0</v>
      </c>
      <c r="BG19" s="16">
        <f>(AS9*AW9+AX9*BB9+AQ9*AM9)/BC9</f>
        <v>10.75</v>
      </c>
      <c r="BH19" s="16">
        <f>+AR9</f>
        <v>475</v>
      </c>
      <c r="BI19" s="12">
        <v>0</v>
      </c>
      <c r="BJ19" s="12">
        <v>0</v>
      </c>
      <c r="BK19" s="12">
        <v>0</v>
      </c>
      <c r="BL19" s="12">
        <v>0</v>
      </c>
      <c r="BM19" s="12">
        <v>0</v>
      </c>
      <c r="BN19" s="12">
        <v>0</v>
      </c>
      <c r="BO19" s="12">
        <v>0</v>
      </c>
      <c r="BP19" s="12">
        <v>0</v>
      </c>
      <c r="BQ19" s="18">
        <v>0</v>
      </c>
      <c r="BR19" s="12">
        <v>0</v>
      </c>
      <c r="BS19" s="15">
        <v>11</v>
      </c>
      <c r="BT19" s="17">
        <v>500</v>
      </c>
      <c r="BU19" s="12" t="s">
        <v>573</v>
      </c>
      <c r="BV19" s="12" t="s">
        <v>574</v>
      </c>
      <c r="BW19" s="12" t="s">
        <v>575</v>
      </c>
      <c r="BX19" s="12" t="s">
        <v>340</v>
      </c>
      <c r="BY19" s="12" t="s">
        <v>862</v>
      </c>
      <c r="BZ19" s="12" t="s">
        <v>712</v>
      </c>
      <c r="CA19" s="12" t="s">
        <v>1089</v>
      </c>
      <c r="CB19" s="12" t="s">
        <v>112</v>
      </c>
      <c r="CC19" s="17">
        <f>1000/5+1500/7</f>
        <v>414.28571428571428</v>
      </c>
      <c r="CD19" s="12">
        <v>757</v>
      </c>
      <c r="CE19" s="18">
        <v>14</v>
      </c>
      <c r="CF19" s="17">
        <v>11160</v>
      </c>
      <c r="CG19" s="18">
        <v>2.7</v>
      </c>
      <c r="CH19" s="19" t="s">
        <v>340</v>
      </c>
      <c r="CI19" s="12">
        <f>500*9.5</f>
        <v>4750</v>
      </c>
      <c r="CJ19" s="18">
        <f>+CI9/9.5</f>
        <v>1500</v>
      </c>
      <c r="CK19" s="18" t="s">
        <v>142</v>
      </c>
      <c r="CL19" s="18">
        <f>+CJ9/18</f>
        <v>83.333333333333329</v>
      </c>
      <c r="CM19" s="12">
        <v>1000</v>
      </c>
      <c r="CN19" s="12" t="s">
        <v>142</v>
      </c>
      <c r="CO19" s="19" t="s">
        <v>340</v>
      </c>
      <c r="CP19" s="12">
        <v>0</v>
      </c>
      <c r="CQ19" s="12">
        <v>0</v>
      </c>
      <c r="CR19" s="12">
        <v>0</v>
      </c>
      <c r="CS19" s="12">
        <v>0</v>
      </c>
      <c r="CT19" s="12">
        <v>0</v>
      </c>
      <c r="CU19" s="12" t="s">
        <v>180</v>
      </c>
      <c r="CV19" s="12" t="s">
        <v>181</v>
      </c>
      <c r="CW19" s="12">
        <v>9967969990</v>
      </c>
      <c r="CX19" s="12" t="s">
        <v>891</v>
      </c>
      <c r="CY19" s="12" t="s">
        <v>182</v>
      </c>
      <c r="CZ19" s="12">
        <v>1015</v>
      </c>
      <c r="DA19" s="12">
        <v>0</v>
      </c>
      <c r="DB19" s="12" t="s">
        <v>892</v>
      </c>
      <c r="DC19" s="12">
        <v>116</v>
      </c>
      <c r="DD19" s="12">
        <v>26</v>
      </c>
      <c r="DE19" s="12">
        <v>26000</v>
      </c>
      <c r="DF19" s="21" t="str">
        <f>"Photos\New\"&amp;$A9&amp;".pptx"</f>
        <v>Photos\New\INDORE.pptx</v>
      </c>
      <c r="DG19" s="21" t="str">
        <f>"Videos\New\"&amp;$A9</f>
        <v>Videos\New\INDORE</v>
      </c>
      <c r="DH19" s="21" t="str">
        <f>"Manpower\"&amp;$A9&amp;".pptx"</f>
        <v>Manpower\INDORE.pptx</v>
      </c>
    </row>
    <row r="20" spans="1:112" ht="15.75" customHeight="1" x14ac:dyDescent="0.35">
      <c r="A20" s="12" t="s">
        <v>311</v>
      </c>
      <c r="B20" s="12" t="s">
        <v>398</v>
      </c>
      <c r="C20" s="12">
        <v>0</v>
      </c>
      <c r="D20" s="12">
        <v>0</v>
      </c>
      <c r="E20" s="12" t="s">
        <v>399</v>
      </c>
      <c r="F20" s="12">
        <v>0</v>
      </c>
      <c r="G20" s="12">
        <v>0</v>
      </c>
      <c r="H20" s="28" t="s">
        <v>400</v>
      </c>
      <c r="I20" s="28">
        <v>5.5</v>
      </c>
      <c r="J20" s="28">
        <v>50</v>
      </c>
      <c r="K20" s="28">
        <v>4</v>
      </c>
      <c r="L20" s="12" t="s">
        <v>401</v>
      </c>
      <c r="M20" s="12">
        <v>9559541177</v>
      </c>
      <c r="N20" s="12" t="s">
        <v>893</v>
      </c>
      <c r="O20" s="12" t="s">
        <v>737</v>
      </c>
      <c r="P20" s="12">
        <v>0</v>
      </c>
      <c r="Q20" s="12">
        <v>0</v>
      </c>
      <c r="R20" s="12">
        <v>0</v>
      </c>
      <c r="S20" s="12">
        <v>0</v>
      </c>
      <c r="T20" s="12">
        <v>0</v>
      </c>
      <c r="U20" s="12">
        <v>0</v>
      </c>
      <c r="V20" s="12">
        <v>0</v>
      </c>
      <c r="W20" s="12">
        <v>0</v>
      </c>
      <c r="X20" s="12">
        <v>0</v>
      </c>
      <c r="Y20" s="12">
        <v>0</v>
      </c>
      <c r="Z20" s="12">
        <v>0</v>
      </c>
      <c r="AA20" s="12">
        <v>0</v>
      </c>
      <c r="AB20" s="12">
        <v>0</v>
      </c>
      <c r="AC20" s="12">
        <v>0</v>
      </c>
      <c r="AD20" s="12">
        <v>0</v>
      </c>
      <c r="AE20" s="12">
        <v>0</v>
      </c>
      <c r="AF20" s="12" t="s">
        <v>1083</v>
      </c>
      <c r="AG20" s="12">
        <v>0</v>
      </c>
      <c r="AH20" s="12">
        <v>0</v>
      </c>
      <c r="AI20" s="12">
        <v>5.04</v>
      </c>
      <c r="AJ20" s="12">
        <v>0</v>
      </c>
      <c r="AK20" s="12">
        <v>0</v>
      </c>
      <c r="AL20" s="12">
        <f>SUM(AI10:AK10)</f>
        <v>10</v>
      </c>
      <c r="AM20" s="22">
        <v>8450</v>
      </c>
      <c r="AN20" s="22">
        <v>0</v>
      </c>
      <c r="AO20" s="22">
        <v>0</v>
      </c>
      <c r="AP20" s="22">
        <v>0</v>
      </c>
      <c r="AQ20" s="16">
        <v>13.5</v>
      </c>
      <c r="AR20" s="16">
        <v>750</v>
      </c>
      <c r="AS20" s="12">
        <v>0</v>
      </c>
      <c r="AT20" s="12">
        <v>0</v>
      </c>
      <c r="AU20" s="12">
        <v>0</v>
      </c>
      <c r="AV20" s="12">
        <v>0</v>
      </c>
      <c r="AW20" s="12">
        <v>0</v>
      </c>
      <c r="AX20" s="12">
        <v>0</v>
      </c>
      <c r="AY20" s="12">
        <v>0</v>
      </c>
      <c r="AZ20" s="12">
        <v>0</v>
      </c>
      <c r="BA20" s="12">
        <v>0</v>
      </c>
      <c r="BB20" s="12">
        <v>0</v>
      </c>
      <c r="BC20" s="13">
        <f t="shared" si="11"/>
        <v>11115</v>
      </c>
      <c r="BD20" s="13">
        <f t="shared" si="11"/>
        <v>1790</v>
      </c>
      <c r="BE20" s="13">
        <f t="shared" si="11"/>
        <v>0</v>
      </c>
      <c r="BF20" s="22">
        <f t="shared" si="11"/>
        <v>0</v>
      </c>
      <c r="BG20" s="16">
        <f>(AS10*AW10+AX10*BB10+AQ10*AM10)/BC10</f>
        <v>11</v>
      </c>
      <c r="BH20" s="16">
        <f>+AR10</f>
        <v>500</v>
      </c>
      <c r="BI20" s="12" t="s">
        <v>397</v>
      </c>
      <c r="BJ20" s="12" t="s">
        <v>894</v>
      </c>
      <c r="BK20" s="12" t="s">
        <v>507</v>
      </c>
      <c r="BL20" s="12">
        <v>9415061959</v>
      </c>
      <c r="BM20" s="12" t="s">
        <v>895</v>
      </c>
      <c r="BN20" s="12" t="s">
        <v>896</v>
      </c>
      <c r="BO20" s="12" t="s">
        <v>1095</v>
      </c>
      <c r="BP20" s="12">
        <v>0</v>
      </c>
      <c r="BQ20" s="51">
        <v>1591</v>
      </c>
      <c r="BR20" s="22">
        <v>1591</v>
      </c>
      <c r="BS20" s="22">
        <v>11.25</v>
      </c>
      <c r="BT20" s="17">
        <v>525</v>
      </c>
      <c r="BU20" s="12" t="s">
        <v>403</v>
      </c>
      <c r="BV20" s="12" t="s">
        <v>894</v>
      </c>
      <c r="BW20" s="12" t="s">
        <v>402</v>
      </c>
      <c r="BX20" s="12" t="s">
        <v>340</v>
      </c>
      <c r="BY20" s="12" t="s">
        <v>895</v>
      </c>
      <c r="BZ20" s="12" t="s">
        <v>896</v>
      </c>
      <c r="CA20" s="12" t="s">
        <v>1095</v>
      </c>
      <c r="CB20" s="12" t="s">
        <v>112</v>
      </c>
      <c r="CC20" s="12">
        <v>1000</v>
      </c>
      <c r="CD20" s="12">
        <v>1000</v>
      </c>
      <c r="CE20" s="18">
        <v>14.25</v>
      </c>
      <c r="CF20" s="12">
        <v>11170</v>
      </c>
      <c r="CG20" s="12">
        <v>2.8</v>
      </c>
      <c r="CH20" s="19" t="s">
        <v>340</v>
      </c>
      <c r="CI20" s="12">
        <v>0</v>
      </c>
      <c r="CJ20" s="12">
        <v>0</v>
      </c>
      <c r="CK20" s="12" t="s">
        <v>142</v>
      </c>
      <c r="CL20" s="12">
        <v>0</v>
      </c>
      <c r="CM20" s="12" t="s">
        <v>142</v>
      </c>
      <c r="CN20" s="12" t="s">
        <v>142</v>
      </c>
      <c r="CO20" s="19" t="s">
        <v>340</v>
      </c>
      <c r="CP20" s="12">
        <v>0</v>
      </c>
      <c r="CQ20" s="12">
        <v>0</v>
      </c>
      <c r="CR20" s="12">
        <v>0</v>
      </c>
      <c r="CS20" s="12">
        <v>0</v>
      </c>
      <c r="CT20" s="12">
        <v>0</v>
      </c>
      <c r="CU20" s="12" t="s">
        <v>404</v>
      </c>
      <c r="CV20" s="12" t="s">
        <v>405</v>
      </c>
      <c r="CW20" s="12">
        <v>9795109054</v>
      </c>
      <c r="CX20" s="12" t="s">
        <v>718</v>
      </c>
      <c r="CY20" s="12" t="s">
        <v>406</v>
      </c>
      <c r="CZ20" s="12">
        <f>1016-5</f>
        <v>1011</v>
      </c>
      <c r="DA20" s="12">
        <v>0</v>
      </c>
      <c r="DB20" s="12" t="s">
        <v>897</v>
      </c>
      <c r="DC20" s="12">
        <v>117</v>
      </c>
      <c r="DD20" s="12">
        <v>27</v>
      </c>
      <c r="DE20" s="12">
        <v>27000</v>
      </c>
      <c r="DF20" s="21" t="str">
        <f>"Photos\New\"&amp;$A10&amp;".pptx"</f>
        <v>Photos\New\CHENNAI.pptx</v>
      </c>
      <c r="DG20" s="21" t="str">
        <f>"Videos\New\"&amp;$A10</f>
        <v>Videos\New\CHENNAI</v>
      </c>
      <c r="DH20" s="21" t="str">
        <f>"Manpower\"&amp;$A10&amp;".pptx"</f>
        <v>Manpower\CHENNAI.pptx</v>
      </c>
    </row>
    <row r="21" spans="1:112" ht="15.75" customHeight="1" x14ac:dyDescent="0.35">
      <c r="A21" s="12" t="s">
        <v>347</v>
      </c>
      <c r="B21" s="12" t="s">
        <v>355</v>
      </c>
      <c r="C21" s="12">
        <v>0</v>
      </c>
      <c r="D21" s="12">
        <v>0</v>
      </c>
      <c r="E21" s="12" t="s">
        <v>898</v>
      </c>
      <c r="F21" s="12">
        <v>0</v>
      </c>
      <c r="G21" s="12">
        <v>0</v>
      </c>
      <c r="H21" s="28" t="s">
        <v>328</v>
      </c>
      <c r="I21" s="28">
        <v>5.5</v>
      </c>
      <c r="J21" s="28">
        <v>50</v>
      </c>
      <c r="K21" s="28">
        <v>7</v>
      </c>
      <c r="L21" s="12" t="s">
        <v>576</v>
      </c>
      <c r="M21" s="12">
        <v>0</v>
      </c>
      <c r="N21" s="12" t="s">
        <v>899</v>
      </c>
      <c r="O21" s="12" t="s">
        <v>900</v>
      </c>
      <c r="P21" s="12">
        <v>0</v>
      </c>
      <c r="Q21" s="12">
        <v>0</v>
      </c>
      <c r="R21" s="12">
        <v>0</v>
      </c>
      <c r="S21" s="12">
        <v>0</v>
      </c>
      <c r="T21" s="12">
        <v>0</v>
      </c>
      <c r="U21" s="12">
        <v>0</v>
      </c>
      <c r="V21" s="12">
        <v>0</v>
      </c>
      <c r="W21" s="12">
        <v>0</v>
      </c>
      <c r="X21" s="12">
        <v>0</v>
      </c>
      <c r="Y21" s="12">
        <v>0</v>
      </c>
      <c r="Z21" s="12">
        <v>0</v>
      </c>
      <c r="AA21" s="12">
        <v>0</v>
      </c>
      <c r="AB21" s="12">
        <v>0</v>
      </c>
      <c r="AC21" s="12">
        <v>0</v>
      </c>
      <c r="AD21" s="12">
        <v>0</v>
      </c>
      <c r="AE21" s="12">
        <v>0</v>
      </c>
      <c r="AF21" s="12" t="s">
        <v>1093</v>
      </c>
      <c r="AG21" s="12">
        <v>0</v>
      </c>
      <c r="AH21" s="12">
        <v>0</v>
      </c>
      <c r="AI21" s="12">
        <v>8.15</v>
      </c>
      <c r="AJ21" s="12">
        <v>0</v>
      </c>
      <c r="AK21" s="12">
        <v>0</v>
      </c>
      <c r="AL21" s="12">
        <f>SUM(AI10:AK10)</f>
        <v>10</v>
      </c>
      <c r="AM21" s="22">
        <v>15000</v>
      </c>
      <c r="AN21" s="22">
        <v>116</v>
      </c>
      <c r="AO21" s="22">
        <v>0</v>
      </c>
      <c r="AP21" s="22">
        <v>0</v>
      </c>
      <c r="AQ21" s="16">
        <v>13.75</v>
      </c>
      <c r="AR21" s="16">
        <v>775</v>
      </c>
      <c r="AS21" s="12">
        <v>0</v>
      </c>
      <c r="AT21" s="12">
        <v>0</v>
      </c>
      <c r="AU21" s="12">
        <v>0</v>
      </c>
      <c r="AV21" s="12">
        <v>0</v>
      </c>
      <c r="AW21" s="12">
        <v>0</v>
      </c>
      <c r="AX21" s="12">
        <v>0</v>
      </c>
      <c r="AY21" s="12">
        <v>0</v>
      </c>
      <c r="AZ21" s="12">
        <v>0</v>
      </c>
      <c r="BA21" s="12">
        <v>0</v>
      </c>
      <c r="BB21" s="12">
        <v>0</v>
      </c>
      <c r="BC21" s="13">
        <f>SUM(AM10,AS10,AX10)</f>
        <v>11115</v>
      </c>
      <c r="BD21" s="14">
        <f>SUM(AN10,AT10,AY10)</f>
        <v>1790</v>
      </c>
      <c r="BE21" s="13">
        <f>SUM(AO10,AU10,AZ10)</f>
        <v>0</v>
      </c>
      <c r="BF21" s="22">
        <f>SUM(AP10,AV10,BA10)</f>
        <v>0</v>
      </c>
      <c r="BG21" s="16">
        <f>(AS10*AW10+AX10*BB10+AQ10*AM10)/BC10</f>
        <v>11</v>
      </c>
      <c r="BH21" s="16">
        <f>+AR10</f>
        <v>500</v>
      </c>
      <c r="BI21" s="12">
        <v>0</v>
      </c>
      <c r="BJ21" s="12">
        <v>0</v>
      </c>
      <c r="BK21" s="12">
        <v>0</v>
      </c>
      <c r="BL21" s="12">
        <v>0</v>
      </c>
      <c r="BM21" s="12">
        <v>0</v>
      </c>
      <c r="BN21" s="12">
        <v>0</v>
      </c>
      <c r="BO21" s="12">
        <v>0</v>
      </c>
      <c r="BP21" s="12">
        <v>0</v>
      </c>
      <c r="BQ21" s="18">
        <v>0</v>
      </c>
      <c r="BR21" s="12">
        <v>0</v>
      </c>
      <c r="BS21" s="22">
        <v>11.5</v>
      </c>
      <c r="BT21" s="17">
        <v>550</v>
      </c>
      <c r="BU21" s="12" t="s">
        <v>356</v>
      </c>
      <c r="BV21" s="12" t="s">
        <v>629</v>
      </c>
      <c r="BW21" s="12" t="s">
        <v>630</v>
      </c>
      <c r="BX21" s="12">
        <v>9891511900</v>
      </c>
      <c r="BY21" s="12" t="s">
        <v>842</v>
      </c>
      <c r="BZ21" s="12" t="s">
        <v>686</v>
      </c>
      <c r="CA21" s="12" t="s">
        <v>1096</v>
      </c>
      <c r="CB21" s="12">
        <v>0</v>
      </c>
      <c r="CC21" s="17">
        <v>1000</v>
      </c>
      <c r="CD21" s="12">
        <v>1000</v>
      </c>
      <c r="CE21" s="18">
        <v>14.5</v>
      </c>
      <c r="CF21" s="17">
        <v>11180</v>
      </c>
      <c r="CG21" s="18">
        <v>2.9</v>
      </c>
      <c r="CH21" s="19" t="s">
        <v>340</v>
      </c>
      <c r="CI21" s="12">
        <f>116*9.5</f>
        <v>1102</v>
      </c>
      <c r="CJ21" s="18">
        <f>+CI10/9.5</f>
        <v>1578.9473684210527</v>
      </c>
      <c r="CK21" s="18" t="s">
        <v>142</v>
      </c>
      <c r="CL21" s="18">
        <f>+CJ10/18</f>
        <v>87.719298245614041</v>
      </c>
      <c r="CM21" s="12">
        <v>1005</v>
      </c>
      <c r="CN21" s="12" t="s">
        <v>108</v>
      </c>
      <c r="CO21" s="19" t="s">
        <v>340</v>
      </c>
      <c r="CP21" s="12">
        <v>0</v>
      </c>
      <c r="CQ21" s="20">
        <f>+CP10/5.5*16</f>
        <v>0</v>
      </c>
      <c r="CR21" s="12">
        <v>0</v>
      </c>
      <c r="CS21" s="12">
        <v>0</v>
      </c>
      <c r="CT21" s="12">
        <v>0</v>
      </c>
      <c r="CU21" s="12" t="s">
        <v>378</v>
      </c>
      <c r="CV21" s="12" t="s">
        <v>379</v>
      </c>
      <c r="CW21" s="12">
        <v>9905595546</v>
      </c>
      <c r="CX21" s="12" t="s">
        <v>901</v>
      </c>
      <c r="CY21" s="12" t="s">
        <v>380</v>
      </c>
      <c r="CZ21" s="12">
        <v>1010</v>
      </c>
      <c r="DA21" s="12">
        <v>0</v>
      </c>
      <c r="DB21" s="12" t="s">
        <v>902</v>
      </c>
      <c r="DC21" s="12">
        <v>118</v>
      </c>
      <c r="DD21" s="12">
        <v>28</v>
      </c>
      <c r="DE21" s="12">
        <v>28000</v>
      </c>
      <c r="DF21" s="21" t="str">
        <f>"Photos\New\"&amp;$A10&amp;".pptx"</f>
        <v>Photos\New\CHENNAI.pptx</v>
      </c>
      <c r="DG21" s="21" t="str">
        <f>"Videos\New\"&amp;$A10</f>
        <v>Videos\New\CHENNAI</v>
      </c>
      <c r="DH21" s="21" t="str">
        <f>"Manpower\"&amp;$A10&amp;".pptx"</f>
        <v>Manpower\CHENNAI.pptx</v>
      </c>
    </row>
    <row r="22" spans="1:112" ht="15.75" customHeight="1" x14ac:dyDescent="0.35">
      <c r="A22" s="12" t="s">
        <v>268</v>
      </c>
      <c r="B22" s="12" t="s">
        <v>275</v>
      </c>
      <c r="C22" s="12">
        <v>0</v>
      </c>
      <c r="D22" s="12">
        <v>0</v>
      </c>
      <c r="E22" s="12" t="s">
        <v>903</v>
      </c>
      <c r="F22" s="12">
        <v>0</v>
      </c>
      <c r="G22" s="12">
        <v>0</v>
      </c>
      <c r="H22" s="28" t="s">
        <v>276</v>
      </c>
      <c r="I22" s="28">
        <v>4</v>
      </c>
      <c r="J22" s="28">
        <v>50</v>
      </c>
      <c r="K22" s="28">
        <v>5</v>
      </c>
      <c r="L22" s="12" t="s">
        <v>277</v>
      </c>
      <c r="M22" s="12">
        <v>9764464956</v>
      </c>
      <c r="N22" s="12" t="s">
        <v>904</v>
      </c>
      <c r="O22" s="12" t="s">
        <v>761</v>
      </c>
      <c r="P22" s="12">
        <v>0</v>
      </c>
      <c r="Q22" s="12">
        <v>0</v>
      </c>
      <c r="R22" s="12">
        <v>0</v>
      </c>
      <c r="S22" s="12">
        <v>0</v>
      </c>
      <c r="T22" s="12">
        <v>0</v>
      </c>
      <c r="U22" s="12">
        <v>0</v>
      </c>
      <c r="V22" s="12">
        <v>0</v>
      </c>
      <c r="W22" s="12">
        <v>0</v>
      </c>
      <c r="X22" s="12">
        <v>0</v>
      </c>
      <c r="Y22" s="12">
        <v>0</v>
      </c>
      <c r="Z22" s="12">
        <v>0</v>
      </c>
      <c r="AA22" s="12">
        <v>0</v>
      </c>
      <c r="AB22" s="12">
        <v>0</v>
      </c>
      <c r="AC22" s="12">
        <v>0</v>
      </c>
      <c r="AD22" s="12">
        <v>0</v>
      </c>
      <c r="AE22" s="12">
        <v>0</v>
      </c>
      <c r="AF22" s="12" t="s">
        <v>1083</v>
      </c>
      <c r="AG22" s="12">
        <v>0</v>
      </c>
      <c r="AH22" s="12">
        <v>0</v>
      </c>
      <c r="AI22" s="12">
        <v>7.01</v>
      </c>
      <c r="AJ22" s="12">
        <v>0</v>
      </c>
      <c r="AK22" s="12">
        <v>0</v>
      </c>
      <c r="AL22" s="12">
        <f>SUM(AI14:AK14)</f>
        <v>0</v>
      </c>
      <c r="AM22" s="22">
        <v>11000</v>
      </c>
      <c r="AN22" s="22">
        <v>1790</v>
      </c>
      <c r="AO22" s="22">
        <v>500</v>
      </c>
      <c r="AP22" s="22">
        <v>0</v>
      </c>
      <c r="AQ22" s="16">
        <v>14</v>
      </c>
      <c r="AR22" s="16">
        <v>800</v>
      </c>
      <c r="AS22" s="12">
        <v>0</v>
      </c>
      <c r="AT22" s="12">
        <v>0</v>
      </c>
      <c r="AU22" s="12">
        <v>0</v>
      </c>
      <c r="AV22" s="12">
        <v>0</v>
      </c>
      <c r="AW22" s="12">
        <v>0</v>
      </c>
      <c r="AX22" s="12">
        <v>0</v>
      </c>
      <c r="AY22" s="12">
        <v>0</v>
      </c>
      <c r="AZ22" s="12">
        <v>0</v>
      </c>
      <c r="BA22" s="12">
        <v>0</v>
      </c>
      <c r="BB22" s="12">
        <v>0</v>
      </c>
      <c r="BC22" s="13">
        <f>SUM(AM14,AS14,AX14)</f>
        <v>11455</v>
      </c>
      <c r="BD22" s="13">
        <f>SUM(AN14,AT14,AY14)</f>
        <v>1000</v>
      </c>
      <c r="BE22" s="13">
        <f>SUM(AO14,AU14,AZ14)</f>
        <v>400</v>
      </c>
      <c r="BF22" s="22">
        <f>SUM(AP14,AV14,BA14)</f>
        <v>0</v>
      </c>
      <c r="BG22" s="16">
        <f>(AS14*AW14+AX14*BB14+AQ14*AM14)/BC14</f>
        <v>12</v>
      </c>
      <c r="BH22" s="16">
        <f>+AR14</f>
        <v>600</v>
      </c>
      <c r="BI22" s="12">
        <v>0</v>
      </c>
      <c r="BJ22" s="12">
        <v>0</v>
      </c>
      <c r="BK22" s="12">
        <v>0</v>
      </c>
      <c r="BL22" s="12">
        <v>0</v>
      </c>
      <c r="BM22" s="12">
        <v>0</v>
      </c>
      <c r="BN22" s="12">
        <v>0</v>
      </c>
      <c r="BO22" s="12">
        <v>0</v>
      </c>
      <c r="BP22" s="12">
        <v>0</v>
      </c>
      <c r="BQ22" s="18">
        <v>0</v>
      </c>
      <c r="BR22" s="12">
        <v>0</v>
      </c>
      <c r="BS22" s="22">
        <v>11.75</v>
      </c>
      <c r="BT22" s="17">
        <v>575</v>
      </c>
      <c r="BU22" s="56" t="s">
        <v>638</v>
      </c>
      <c r="BV22" s="27" t="s">
        <v>905</v>
      </c>
      <c r="BW22" s="12" t="s">
        <v>647</v>
      </c>
      <c r="BX22" s="27" t="s">
        <v>906</v>
      </c>
      <c r="BY22" s="12" t="s">
        <v>831</v>
      </c>
      <c r="BZ22" s="12" t="s">
        <v>719</v>
      </c>
      <c r="CA22" s="12" t="s">
        <v>1096</v>
      </c>
      <c r="CB22" s="12" t="s">
        <v>112</v>
      </c>
      <c r="CC22" s="12">
        <v>1800</v>
      </c>
      <c r="CD22" s="12">
        <v>1800</v>
      </c>
      <c r="CE22" s="18">
        <v>14.75</v>
      </c>
      <c r="CF22" s="17">
        <v>11190</v>
      </c>
      <c r="CG22" s="18">
        <v>3</v>
      </c>
      <c r="CH22" s="19" t="s">
        <v>340</v>
      </c>
      <c r="CI22" s="12">
        <f>7000+10000</f>
        <v>17000</v>
      </c>
      <c r="CJ22" s="18">
        <f>+CI14/9.5</f>
        <v>105.26315789473684</v>
      </c>
      <c r="CK22" s="18">
        <f>9.95+15</f>
        <v>24.95</v>
      </c>
      <c r="CL22" s="18">
        <f>+CJ14/18</f>
        <v>5.8479532163742682</v>
      </c>
      <c r="CM22" s="12" t="s">
        <v>340</v>
      </c>
      <c r="CN22" s="12" t="s">
        <v>108</v>
      </c>
      <c r="CO22" s="19" t="s">
        <v>340</v>
      </c>
      <c r="CP22" s="12">
        <v>0</v>
      </c>
      <c r="CQ22" s="12">
        <v>0</v>
      </c>
      <c r="CR22" s="12">
        <v>0</v>
      </c>
      <c r="CS22" s="12">
        <v>0</v>
      </c>
      <c r="CT22" s="12">
        <v>0</v>
      </c>
      <c r="CU22" s="12" t="s">
        <v>278</v>
      </c>
      <c r="CV22" s="12" t="s">
        <v>279</v>
      </c>
      <c r="CW22" s="12">
        <v>9811851466</v>
      </c>
      <c r="CX22" s="12" t="s">
        <v>280</v>
      </c>
      <c r="CY22" s="12" t="s">
        <v>281</v>
      </c>
      <c r="CZ22" s="12">
        <v>1019</v>
      </c>
      <c r="DA22" s="12" t="s">
        <v>340</v>
      </c>
      <c r="DB22" s="12" t="s">
        <v>907</v>
      </c>
      <c r="DC22" s="12">
        <v>119</v>
      </c>
      <c r="DD22" s="12">
        <v>29</v>
      </c>
      <c r="DE22" s="12">
        <v>29000</v>
      </c>
      <c r="DF22" s="21" t="str">
        <f>"Photos\New\"&amp;$A14&amp;".pptx"</f>
        <v>Photos\New\SURAT.pptx</v>
      </c>
      <c r="DG22" s="21" t="str">
        <f>"Videos\New\"&amp;$A14</f>
        <v>Videos\New\SURAT</v>
      </c>
      <c r="DH22" s="21" t="str">
        <f>"Manpower\"&amp;$A14&amp;".pptx"</f>
        <v>Manpower\SURAT.pptx</v>
      </c>
    </row>
    <row r="23" spans="1:112" ht="15.75" customHeight="1" x14ac:dyDescent="0.35">
      <c r="A23" s="12" t="s">
        <v>256</v>
      </c>
      <c r="B23" s="12" t="s">
        <v>160</v>
      </c>
      <c r="C23" s="12">
        <v>0</v>
      </c>
      <c r="D23" s="12">
        <v>0</v>
      </c>
      <c r="E23" s="12" t="s">
        <v>119</v>
      </c>
      <c r="F23" s="12">
        <v>0</v>
      </c>
      <c r="G23" s="12">
        <v>0</v>
      </c>
      <c r="H23" s="28" t="s">
        <v>291</v>
      </c>
      <c r="I23" s="28">
        <v>4</v>
      </c>
      <c r="J23" s="28">
        <v>18</v>
      </c>
      <c r="K23" s="28">
        <v>5</v>
      </c>
      <c r="L23" s="12" t="s">
        <v>161</v>
      </c>
      <c r="M23" s="12">
        <v>9954099099</v>
      </c>
      <c r="N23" s="12" t="s">
        <v>908</v>
      </c>
      <c r="O23" s="12" t="s">
        <v>720</v>
      </c>
      <c r="P23" s="12">
        <v>0</v>
      </c>
      <c r="Q23" s="12">
        <v>0</v>
      </c>
      <c r="R23" s="12">
        <v>0</v>
      </c>
      <c r="S23" s="12">
        <v>0</v>
      </c>
      <c r="T23" s="12">
        <v>0</v>
      </c>
      <c r="U23" s="12">
        <v>0</v>
      </c>
      <c r="V23" s="12">
        <v>0</v>
      </c>
      <c r="W23" s="12">
        <v>0</v>
      </c>
      <c r="X23" s="12">
        <v>0</v>
      </c>
      <c r="Y23" s="12">
        <v>0</v>
      </c>
      <c r="Z23" s="12">
        <v>0</v>
      </c>
      <c r="AA23" s="12">
        <v>0</v>
      </c>
      <c r="AB23" s="12">
        <v>0</v>
      </c>
      <c r="AC23" s="12">
        <v>0</v>
      </c>
      <c r="AD23" s="12">
        <v>0</v>
      </c>
      <c r="AE23" s="12">
        <v>0</v>
      </c>
      <c r="AF23" s="12" t="s">
        <v>1092</v>
      </c>
      <c r="AG23" s="12">
        <v>0</v>
      </c>
      <c r="AH23" s="12">
        <v>0</v>
      </c>
      <c r="AI23" s="12">
        <v>0</v>
      </c>
      <c r="AJ23" s="12">
        <v>0</v>
      </c>
      <c r="AK23" s="12">
        <v>0</v>
      </c>
      <c r="AL23" s="12">
        <f t="shared" ref="AL23:AL28" si="12">SUM(AI13:AK13)</f>
        <v>0.46</v>
      </c>
      <c r="AM23" s="22">
        <v>15167</v>
      </c>
      <c r="AN23" s="22">
        <v>1000</v>
      </c>
      <c r="AO23" s="22">
        <v>0</v>
      </c>
      <c r="AP23" s="22">
        <v>0</v>
      </c>
      <c r="AQ23" s="16">
        <v>14.25</v>
      </c>
      <c r="AR23" s="16">
        <v>825</v>
      </c>
      <c r="AS23" s="12">
        <v>0</v>
      </c>
      <c r="AT23" s="12">
        <v>0</v>
      </c>
      <c r="AU23" s="12">
        <v>0</v>
      </c>
      <c r="AV23" s="12">
        <v>0</v>
      </c>
      <c r="AW23" s="12">
        <v>0</v>
      </c>
      <c r="AX23" s="12">
        <v>0</v>
      </c>
      <c r="AY23" s="12">
        <v>0</v>
      </c>
      <c r="AZ23" s="12">
        <v>0</v>
      </c>
      <c r="BA23" s="12">
        <v>0</v>
      </c>
      <c r="BB23" s="12">
        <v>0</v>
      </c>
      <c r="BC23" s="22">
        <f t="shared" ref="BC23:BF28" si="13">SUM(AM13,AS13,AX13)</f>
        <v>1519</v>
      </c>
      <c r="BD23" s="22">
        <f t="shared" si="13"/>
        <v>0</v>
      </c>
      <c r="BE23" s="22">
        <f t="shared" si="13"/>
        <v>0</v>
      </c>
      <c r="BF23" s="22">
        <f t="shared" si="13"/>
        <v>0</v>
      </c>
      <c r="BG23" s="16">
        <f t="shared" ref="BG23:BG28" si="14">(AS13*AW13+AX13*BB13+AQ13*AM13)/BC13</f>
        <v>11.75</v>
      </c>
      <c r="BH23" s="16">
        <f t="shared" ref="BH23:BH28" si="15">+AR13</f>
        <v>575</v>
      </c>
      <c r="BI23" s="12">
        <v>0</v>
      </c>
      <c r="BJ23" s="12">
        <v>0</v>
      </c>
      <c r="BK23" s="12">
        <v>0</v>
      </c>
      <c r="BL23" s="12">
        <v>0</v>
      </c>
      <c r="BM23" s="12">
        <v>0</v>
      </c>
      <c r="BN23" s="29">
        <v>0</v>
      </c>
      <c r="BO23" s="29">
        <v>0</v>
      </c>
      <c r="BP23" s="29">
        <v>0</v>
      </c>
      <c r="BQ23" s="18">
        <v>0</v>
      </c>
      <c r="BR23" s="22">
        <v>1055</v>
      </c>
      <c r="BS23" s="15">
        <v>12</v>
      </c>
      <c r="BT23" s="17">
        <v>600</v>
      </c>
      <c r="BU23" s="57">
        <v>0</v>
      </c>
      <c r="BV23" s="30">
        <v>0</v>
      </c>
      <c r="BW23" s="12">
        <v>0</v>
      </c>
      <c r="BX23" s="12">
        <v>0</v>
      </c>
      <c r="BY23" s="12">
        <v>0</v>
      </c>
      <c r="BZ23" s="12">
        <v>0</v>
      </c>
      <c r="CA23" s="12">
        <v>0</v>
      </c>
      <c r="CB23" s="12">
        <v>0</v>
      </c>
      <c r="CC23" s="12">
        <v>0</v>
      </c>
      <c r="CD23" s="12">
        <v>0</v>
      </c>
      <c r="CE23" s="18">
        <v>15</v>
      </c>
      <c r="CF23" s="17">
        <v>11200</v>
      </c>
      <c r="CG23" s="12">
        <v>3.1</v>
      </c>
      <c r="CH23" s="19" t="s">
        <v>340</v>
      </c>
      <c r="CI23" s="12">
        <v>10000</v>
      </c>
      <c r="CJ23" s="18">
        <f>+CI13/9.5</f>
        <v>0</v>
      </c>
      <c r="CK23" s="12">
        <v>15</v>
      </c>
      <c r="CL23" s="18">
        <f>+CJ13/18</f>
        <v>0</v>
      </c>
      <c r="CM23" s="12">
        <v>1016</v>
      </c>
      <c r="CN23" s="12" t="s">
        <v>108</v>
      </c>
      <c r="CO23" s="19" t="s">
        <v>340</v>
      </c>
      <c r="CP23" s="12">
        <v>0</v>
      </c>
      <c r="CQ23" s="12">
        <v>0</v>
      </c>
      <c r="CR23" s="12">
        <v>0</v>
      </c>
      <c r="CS23" s="12">
        <v>0</v>
      </c>
      <c r="CT23" s="12">
        <v>0</v>
      </c>
      <c r="CU23" s="12" t="s">
        <v>113</v>
      </c>
      <c r="CV23" s="31" t="s">
        <v>124</v>
      </c>
      <c r="CW23" s="31">
        <v>9456105710</v>
      </c>
      <c r="CX23" s="4" t="s">
        <v>909</v>
      </c>
      <c r="CY23" s="31" t="s">
        <v>162</v>
      </c>
      <c r="CZ23" s="12">
        <v>1987</v>
      </c>
      <c r="DA23" s="12" t="s">
        <v>340</v>
      </c>
      <c r="DB23" s="12" t="s">
        <v>721</v>
      </c>
      <c r="DC23" s="12">
        <v>120</v>
      </c>
      <c r="DD23" s="12">
        <v>30</v>
      </c>
      <c r="DE23" s="12">
        <v>30000</v>
      </c>
      <c r="DF23" s="21" t="str">
        <f t="shared" ref="DF23:DF28" si="16">"Photos\New\"&amp;$A13&amp;".pptx"</f>
        <v>Photos\New\JABALPUR.pptx</v>
      </c>
      <c r="DG23" s="21" t="str">
        <f t="shared" ref="DG23:DG28" si="17">"Videos\New\"&amp;$A13</f>
        <v>Videos\New\JABALPUR</v>
      </c>
      <c r="DH23" s="21" t="str">
        <f t="shared" ref="DH23:DH28" si="18">"Manpower\"&amp;$A13&amp;".pptx"</f>
        <v>Manpower\JABALPUR.pptx</v>
      </c>
    </row>
    <row r="24" spans="1:112" ht="15.75" customHeight="1" x14ac:dyDescent="0.35">
      <c r="A24" s="12" t="s">
        <v>252</v>
      </c>
      <c r="B24" s="12" t="s">
        <v>623</v>
      </c>
      <c r="C24" s="12" t="s">
        <v>643</v>
      </c>
      <c r="D24" s="12">
        <v>0</v>
      </c>
      <c r="E24" s="12" t="s">
        <v>910</v>
      </c>
      <c r="F24" s="12" t="s">
        <v>644</v>
      </c>
      <c r="G24" s="12">
        <v>0</v>
      </c>
      <c r="H24" s="28" t="s">
        <v>104</v>
      </c>
      <c r="I24" s="28">
        <v>5</v>
      </c>
      <c r="J24" s="28">
        <v>9.5</v>
      </c>
      <c r="K24" s="28">
        <v>6</v>
      </c>
      <c r="L24" s="12" t="s">
        <v>107</v>
      </c>
      <c r="M24" s="12">
        <v>9954075000</v>
      </c>
      <c r="N24" s="12" t="s">
        <v>911</v>
      </c>
      <c r="O24" s="12" t="s">
        <v>912</v>
      </c>
      <c r="P24" s="12" t="s">
        <v>645</v>
      </c>
      <c r="Q24" s="12">
        <v>4</v>
      </c>
      <c r="R24" s="12">
        <v>11</v>
      </c>
      <c r="S24" s="12">
        <v>7</v>
      </c>
      <c r="T24" s="12" t="s">
        <v>646</v>
      </c>
      <c r="U24" s="54">
        <v>9455049175</v>
      </c>
      <c r="V24" s="12" t="s">
        <v>913</v>
      </c>
      <c r="W24" s="12" t="s">
        <v>719</v>
      </c>
      <c r="X24" s="12">
        <v>0</v>
      </c>
      <c r="Y24" s="12">
        <v>0</v>
      </c>
      <c r="Z24" s="12">
        <v>0</v>
      </c>
      <c r="AA24" s="12">
        <v>0</v>
      </c>
      <c r="AB24" s="12">
        <v>0</v>
      </c>
      <c r="AC24" s="12">
        <v>0</v>
      </c>
      <c r="AD24" s="12">
        <v>0</v>
      </c>
      <c r="AE24" s="12">
        <v>0</v>
      </c>
      <c r="AF24" s="12" t="s">
        <v>1092</v>
      </c>
      <c r="AG24" s="12" t="s">
        <v>1083</v>
      </c>
      <c r="AH24" s="12">
        <v>0</v>
      </c>
      <c r="AI24" s="12">
        <v>0</v>
      </c>
      <c r="AJ24" s="12">
        <v>0</v>
      </c>
      <c r="AK24" s="12">
        <v>0</v>
      </c>
      <c r="AL24" s="12">
        <f t="shared" si="12"/>
        <v>0</v>
      </c>
      <c r="AM24" s="22">
        <v>45480</v>
      </c>
      <c r="AN24" s="22">
        <v>1106</v>
      </c>
      <c r="AO24" s="22">
        <v>1500</v>
      </c>
      <c r="AP24" s="22">
        <v>0</v>
      </c>
      <c r="AQ24" s="16">
        <v>14.5</v>
      </c>
      <c r="AR24" s="16">
        <v>850</v>
      </c>
      <c r="AS24" s="15">
        <v>15900</v>
      </c>
      <c r="AT24" s="15">
        <v>0</v>
      </c>
      <c r="AU24" s="15">
        <v>0</v>
      </c>
      <c r="AV24" s="15">
        <v>0</v>
      </c>
      <c r="AW24" s="16">
        <v>17.09</v>
      </c>
      <c r="AX24" s="15">
        <v>51558</v>
      </c>
      <c r="AY24" s="15">
        <v>0</v>
      </c>
      <c r="AZ24" s="15">
        <v>0</v>
      </c>
      <c r="BA24" s="15">
        <v>0</v>
      </c>
      <c r="BB24" s="16">
        <v>17.149999999999999</v>
      </c>
      <c r="BC24" s="22">
        <f t="shared" si="13"/>
        <v>11455</v>
      </c>
      <c r="BD24" s="22">
        <f t="shared" si="13"/>
        <v>1000</v>
      </c>
      <c r="BE24" s="22">
        <f t="shared" si="13"/>
        <v>400</v>
      </c>
      <c r="BF24" s="22">
        <f t="shared" si="13"/>
        <v>0</v>
      </c>
      <c r="BG24" s="16">
        <f t="shared" si="14"/>
        <v>12</v>
      </c>
      <c r="BH24" s="16">
        <f t="shared" si="15"/>
        <v>600</v>
      </c>
      <c r="BI24" s="12">
        <v>0</v>
      </c>
      <c r="BJ24" s="12">
        <v>0</v>
      </c>
      <c r="BK24" s="12">
        <v>0</v>
      </c>
      <c r="BL24" s="12">
        <v>0</v>
      </c>
      <c r="BM24" s="12">
        <v>0</v>
      </c>
      <c r="BN24" s="12">
        <v>0</v>
      </c>
      <c r="BO24" s="12">
        <v>0</v>
      </c>
      <c r="BP24" s="12">
        <v>0</v>
      </c>
      <c r="BQ24" s="18">
        <v>0</v>
      </c>
      <c r="BR24" s="12">
        <v>0</v>
      </c>
      <c r="BS24" s="22">
        <v>12.25</v>
      </c>
      <c r="BT24" s="17">
        <v>625</v>
      </c>
      <c r="BU24" s="12" t="s">
        <v>639</v>
      </c>
      <c r="BV24" s="30" t="s">
        <v>722</v>
      </c>
      <c r="BW24" s="12" t="s">
        <v>143</v>
      </c>
      <c r="BX24" s="12">
        <v>7086065555</v>
      </c>
      <c r="BY24" s="12" t="s">
        <v>914</v>
      </c>
      <c r="BZ24" s="12" t="s">
        <v>723</v>
      </c>
      <c r="CA24" s="12" t="s">
        <v>1097</v>
      </c>
      <c r="CB24" s="12">
        <v>0</v>
      </c>
      <c r="CC24" s="12">
        <v>5941</v>
      </c>
      <c r="CD24" s="12">
        <v>5941</v>
      </c>
      <c r="CE24" s="18">
        <v>15.25</v>
      </c>
      <c r="CF24" s="12">
        <v>11210</v>
      </c>
      <c r="CG24" s="18">
        <v>3.2</v>
      </c>
      <c r="CH24" s="19" t="s">
        <v>340</v>
      </c>
      <c r="CI24" s="12">
        <v>10000</v>
      </c>
      <c r="CJ24" s="18">
        <f>+CI14/9.5</f>
        <v>105.26315789473684</v>
      </c>
      <c r="CK24" s="12">
        <f>6.77+0.67</f>
        <v>7.4399999999999995</v>
      </c>
      <c r="CL24" s="18">
        <f>+CJ14/18</f>
        <v>5.8479532163742682</v>
      </c>
      <c r="CM24" s="12" t="s">
        <v>915</v>
      </c>
      <c r="CN24" s="12" t="s">
        <v>108</v>
      </c>
      <c r="CO24" s="19" t="s">
        <v>340</v>
      </c>
      <c r="CP24" s="12">
        <v>0</v>
      </c>
      <c r="CQ24" s="12">
        <v>0</v>
      </c>
      <c r="CR24" s="12">
        <v>0</v>
      </c>
      <c r="CS24" s="12">
        <v>0</v>
      </c>
      <c r="CT24" s="12">
        <v>0</v>
      </c>
      <c r="CU24" s="12" t="s">
        <v>109</v>
      </c>
      <c r="CV24" s="31" t="s">
        <v>110</v>
      </c>
      <c r="CW24" s="31">
        <v>9850051164</v>
      </c>
      <c r="CX24" s="4" t="s">
        <v>111</v>
      </c>
      <c r="CY24" s="31" t="s">
        <v>112</v>
      </c>
      <c r="CZ24" s="12">
        <v>1998</v>
      </c>
      <c r="DA24" s="12" t="s">
        <v>340</v>
      </c>
      <c r="DB24" s="12" t="s">
        <v>916</v>
      </c>
      <c r="DC24" s="12">
        <v>121</v>
      </c>
      <c r="DD24" s="12">
        <v>31</v>
      </c>
      <c r="DE24" s="12">
        <v>31000</v>
      </c>
      <c r="DF24" s="21" t="str">
        <f t="shared" si="16"/>
        <v>Photos\New\SURAT.pptx</v>
      </c>
      <c r="DG24" s="21" t="str">
        <f t="shared" si="17"/>
        <v>Videos\New\SURAT</v>
      </c>
      <c r="DH24" s="21" t="str">
        <f t="shared" si="18"/>
        <v>Manpower\SURAT.pptx</v>
      </c>
    </row>
    <row r="25" spans="1:112" ht="15.75" customHeight="1" x14ac:dyDescent="0.35">
      <c r="A25" s="12" t="s">
        <v>262</v>
      </c>
      <c r="B25" s="12" t="s">
        <v>202</v>
      </c>
      <c r="C25" s="12" t="s">
        <v>202</v>
      </c>
      <c r="D25" s="12">
        <v>0</v>
      </c>
      <c r="E25" s="12" t="s">
        <v>917</v>
      </c>
      <c r="F25" s="12" t="s">
        <v>918</v>
      </c>
      <c r="G25" s="12">
        <v>0</v>
      </c>
      <c r="H25" s="28" t="s">
        <v>291</v>
      </c>
      <c r="I25" s="58">
        <v>1.5</v>
      </c>
      <c r="J25" s="28">
        <v>11</v>
      </c>
      <c r="K25" s="28">
        <v>5</v>
      </c>
      <c r="L25" s="12" t="s">
        <v>203</v>
      </c>
      <c r="M25" s="54">
        <v>9916666665</v>
      </c>
      <c r="N25" s="54" t="s">
        <v>919</v>
      </c>
      <c r="O25" s="12" t="s">
        <v>724</v>
      </c>
      <c r="P25" s="28" t="s">
        <v>118</v>
      </c>
      <c r="Q25" s="28">
        <v>5</v>
      </c>
      <c r="R25" s="28">
        <v>58</v>
      </c>
      <c r="S25" s="28">
        <v>1</v>
      </c>
      <c r="T25" s="12" t="s">
        <v>203</v>
      </c>
      <c r="U25" s="54">
        <v>9916666665</v>
      </c>
      <c r="V25" s="54" t="s">
        <v>920</v>
      </c>
      <c r="W25" s="12" t="s">
        <v>724</v>
      </c>
      <c r="X25" s="28">
        <v>0</v>
      </c>
      <c r="Y25" s="28">
        <v>0</v>
      </c>
      <c r="Z25" s="28">
        <v>0</v>
      </c>
      <c r="AA25" s="28">
        <v>0</v>
      </c>
      <c r="AB25" s="28">
        <v>0</v>
      </c>
      <c r="AC25" s="28">
        <v>0</v>
      </c>
      <c r="AD25" s="28">
        <v>0</v>
      </c>
      <c r="AE25" s="28">
        <v>0</v>
      </c>
      <c r="AF25" s="12" t="s">
        <v>1083</v>
      </c>
      <c r="AG25" s="12" t="s">
        <v>1083</v>
      </c>
      <c r="AH25" s="28">
        <v>0</v>
      </c>
      <c r="AI25" s="12">
        <v>9.5399999999999991</v>
      </c>
      <c r="AJ25" s="12">
        <v>5</v>
      </c>
      <c r="AK25" s="12">
        <v>0</v>
      </c>
      <c r="AL25" s="18">
        <f t="shared" si="12"/>
        <v>0</v>
      </c>
      <c r="AM25" s="22">
        <v>16000</v>
      </c>
      <c r="AN25" s="22">
        <f>50000/8</f>
        <v>6250</v>
      </c>
      <c r="AO25" s="22">
        <v>0</v>
      </c>
      <c r="AP25" s="22">
        <v>0</v>
      </c>
      <c r="AQ25" s="16">
        <v>14.75</v>
      </c>
      <c r="AR25" s="16">
        <v>875</v>
      </c>
      <c r="AS25" s="22">
        <v>5400</v>
      </c>
      <c r="AT25" s="22">
        <v>0</v>
      </c>
      <c r="AU25" s="22">
        <v>0</v>
      </c>
      <c r="AV25" s="22">
        <v>0</v>
      </c>
      <c r="AW25" s="16">
        <v>15.44</v>
      </c>
      <c r="AX25" s="22">
        <v>0</v>
      </c>
      <c r="AY25" s="22">
        <v>0</v>
      </c>
      <c r="AZ25" s="22">
        <v>0</v>
      </c>
      <c r="BA25" s="22">
        <v>0</v>
      </c>
      <c r="BB25" s="16">
        <v>0</v>
      </c>
      <c r="BC25" s="25">
        <f t="shared" si="13"/>
        <v>11057</v>
      </c>
      <c r="BD25" s="25">
        <f t="shared" si="13"/>
        <v>0</v>
      </c>
      <c r="BE25" s="25">
        <f t="shared" si="13"/>
        <v>0</v>
      </c>
      <c r="BF25" s="25">
        <f t="shared" si="13"/>
        <v>0</v>
      </c>
      <c r="BG25" s="16">
        <f t="shared" si="14"/>
        <v>12.25</v>
      </c>
      <c r="BH25" s="16">
        <f t="shared" si="15"/>
        <v>625</v>
      </c>
      <c r="BI25" s="12">
        <v>0</v>
      </c>
      <c r="BJ25" s="12">
        <v>0</v>
      </c>
      <c r="BK25" s="12">
        <v>0</v>
      </c>
      <c r="BL25" s="12">
        <v>0</v>
      </c>
      <c r="BM25" s="12">
        <v>0</v>
      </c>
      <c r="BN25" s="12">
        <v>0</v>
      </c>
      <c r="BO25" s="12">
        <v>0</v>
      </c>
      <c r="BP25" s="12">
        <v>0</v>
      </c>
      <c r="BQ25" s="18">
        <v>0</v>
      </c>
      <c r="BR25" s="12">
        <v>0</v>
      </c>
      <c r="BS25" s="22">
        <v>12.5</v>
      </c>
      <c r="BT25" s="17">
        <v>650</v>
      </c>
      <c r="BU25" s="12" t="s">
        <v>167</v>
      </c>
      <c r="BV25" s="12" t="s">
        <v>725</v>
      </c>
      <c r="BW25" s="12" t="s">
        <v>205</v>
      </c>
      <c r="BX25" s="12" t="s">
        <v>340</v>
      </c>
      <c r="BY25" s="12" t="s">
        <v>921</v>
      </c>
      <c r="BZ25" s="12" t="s">
        <v>689</v>
      </c>
      <c r="CA25" s="12" t="s">
        <v>169</v>
      </c>
      <c r="CB25" s="12" t="s">
        <v>112</v>
      </c>
      <c r="CC25" s="12" t="s">
        <v>206</v>
      </c>
      <c r="CD25" s="12">
        <f>66000+4178</f>
        <v>70178</v>
      </c>
      <c r="CE25" s="18">
        <v>15.5</v>
      </c>
      <c r="CF25" s="17">
        <v>11220</v>
      </c>
      <c r="CG25" s="18">
        <v>3.3</v>
      </c>
      <c r="CH25" s="19" t="s">
        <v>340</v>
      </c>
      <c r="CI25" s="32" t="s">
        <v>204</v>
      </c>
      <c r="CJ25" s="18">
        <f>50000/9.5</f>
        <v>5263.1578947368425</v>
      </c>
      <c r="CK25" s="18">
        <f>5.16+18.84</f>
        <v>24</v>
      </c>
      <c r="CL25" s="18">
        <f>+CJ15/18</f>
        <v>0</v>
      </c>
      <c r="CM25" s="12" t="s">
        <v>726</v>
      </c>
      <c r="CN25" s="12" t="s">
        <v>108</v>
      </c>
      <c r="CO25" s="19" t="s">
        <v>340</v>
      </c>
      <c r="CP25" s="12">
        <v>0</v>
      </c>
      <c r="CQ25" s="12">
        <v>0</v>
      </c>
      <c r="CR25" s="12">
        <v>0</v>
      </c>
      <c r="CS25" s="12">
        <v>0</v>
      </c>
      <c r="CT25" s="12">
        <v>0</v>
      </c>
      <c r="CU25" s="12" t="s">
        <v>199</v>
      </c>
      <c r="CV25" s="12" t="s">
        <v>200</v>
      </c>
      <c r="CW25" s="12">
        <v>9886515000</v>
      </c>
      <c r="CX25" s="12" t="s">
        <v>922</v>
      </c>
      <c r="CY25" s="12" t="s">
        <v>201</v>
      </c>
      <c r="CZ25" s="12">
        <v>1005</v>
      </c>
      <c r="DA25" s="12">
        <v>0</v>
      </c>
      <c r="DB25" s="12" t="s">
        <v>923</v>
      </c>
      <c r="DC25" s="12">
        <v>122</v>
      </c>
      <c r="DD25" s="12">
        <v>32</v>
      </c>
      <c r="DE25" s="12">
        <v>32000</v>
      </c>
      <c r="DF25" s="21" t="str">
        <f t="shared" si="16"/>
        <v>Photos\New\GORAKHPUR.pptx</v>
      </c>
      <c r="DG25" s="21" t="str">
        <f t="shared" si="17"/>
        <v>Videos\New\GORAKHPUR</v>
      </c>
      <c r="DH25" s="21" t="str">
        <f t="shared" si="18"/>
        <v>Manpower\GORAKHPUR.pptx</v>
      </c>
    </row>
    <row r="26" spans="1:112" ht="15.75" customHeight="1" x14ac:dyDescent="0.35">
      <c r="A26" s="12" t="s">
        <v>270</v>
      </c>
      <c r="B26" s="12" t="s">
        <v>247</v>
      </c>
      <c r="C26" s="12">
        <v>0</v>
      </c>
      <c r="D26" s="12">
        <v>0</v>
      </c>
      <c r="E26" s="12" t="s">
        <v>248</v>
      </c>
      <c r="F26" s="12">
        <v>0</v>
      </c>
      <c r="G26" s="12">
        <v>0</v>
      </c>
      <c r="H26" s="28" t="s">
        <v>249</v>
      </c>
      <c r="I26" s="28">
        <v>1.5</v>
      </c>
      <c r="J26" s="28">
        <v>15</v>
      </c>
      <c r="K26" s="28">
        <v>1</v>
      </c>
      <c r="L26" s="12" t="s">
        <v>617</v>
      </c>
      <c r="M26" s="12">
        <v>7104151078</v>
      </c>
      <c r="N26" s="12" t="s">
        <v>924</v>
      </c>
      <c r="O26" s="12" t="s">
        <v>727</v>
      </c>
      <c r="P26" s="12">
        <v>0</v>
      </c>
      <c r="Q26" s="12">
        <v>0</v>
      </c>
      <c r="R26" s="12">
        <v>0</v>
      </c>
      <c r="S26" s="12">
        <v>0</v>
      </c>
      <c r="T26" s="12">
        <v>0</v>
      </c>
      <c r="U26" s="12">
        <v>0</v>
      </c>
      <c r="V26" s="12">
        <v>0</v>
      </c>
      <c r="W26" s="12">
        <v>0</v>
      </c>
      <c r="X26" s="12">
        <v>0</v>
      </c>
      <c r="Y26" s="12">
        <v>0</v>
      </c>
      <c r="Z26" s="12">
        <v>0</v>
      </c>
      <c r="AA26" s="12">
        <v>0</v>
      </c>
      <c r="AB26" s="12">
        <v>0</v>
      </c>
      <c r="AC26" s="12">
        <v>0</v>
      </c>
      <c r="AD26" s="12">
        <v>0</v>
      </c>
      <c r="AE26" s="12">
        <v>0</v>
      </c>
      <c r="AF26" s="12" t="s">
        <v>1083</v>
      </c>
      <c r="AG26" s="12">
        <v>0</v>
      </c>
      <c r="AH26" s="12">
        <v>0</v>
      </c>
      <c r="AI26" s="12">
        <v>0</v>
      </c>
      <c r="AJ26" s="12">
        <v>0</v>
      </c>
      <c r="AK26" s="12">
        <v>0</v>
      </c>
      <c r="AL26" s="12">
        <f t="shared" si="12"/>
        <v>0.75</v>
      </c>
      <c r="AM26" s="22">
        <v>7517</v>
      </c>
      <c r="AN26" s="22">
        <v>1410</v>
      </c>
      <c r="AO26" s="22">
        <v>0</v>
      </c>
      <c r="AP26" s="22">
        <v>0</v>
      </c>
      <c r="AQ26" s="16">
        <v>15</v>
      </c>
      <c r="AR26" s="16">
        <v>900</v>
      </c>
      <c r="AS26" s="12">
        <v>0</v>
      </c>
      <c r="AT26" s="12">
        <v>0</v>
      </c>
      <c r="AU26" s="12">
        <v>0</v>
      </c>
      <c r="AV26" s="12">
        <v>0</v>
      </c>
      <c r="AW26" s="12">
        <v>0</v>
      </c>
      <c r="AX26" s="12">
        <v>0</v>
      </c>
      <c r="AY26" s="12">
        <v>0</v>
      </c>
      <c r="AZ26" s="12">
        <v>0</v>
      </c>
      <c r="BA26" s="12">
        <v>0</v>
      </c>
      <c r="BB26" s="12">
        <v>0</v>
      </c>
      <c r="BC26" s="13">
        <f t="shared" si="13"/>
        <v>5045</v>
      </c>
      <c r="BD26" s="13">
        <f t="shared" si="13"/>
        <v>0</v>
      </c>
      <c r="BE26" s="13">
        <f t="shared" si="13"/>
        <v>0</v>
      </c>
      <c r="BF26" s="22">
        <f t="shared" si="13"/>
        <v>1511</v>
      </c>
      <c r="BG26" s="16">
        <f t="shared" si="14"/>
        <v>12.5</v>
      </c>
      <c r="BH26" s="16">
        <f t="shared" si="15"/>
        <v>650</v>
      </c>
      <c r="BI26" s="12" t="s">
        <v>247</v>
      </c>
      <c r="BJ26" s="12" t="s">
        <v>248</v>
      </c>
      <c r="BK26" s="12" t="s">
        <v>617</v>
      </c>
      <c r="BL26" s="12">
        <v>7104151078</v>
      </c>
      <c r="BM26" s="12" t="s">
        <v>925</v>
      </c>
      <c r="BN26" s="12" t="s">
        <v>727</v>
      </c>
      <c r="BO26" s="12" t="s">
        <v>1085</v>
      </c>
      <c r="BP26" s="12">
        <v>0</v>
      </c>
      <c r="BQ26" s="51">
        <v>1410</v>
      </c>
      <c r="BR26" s="22">
        <v>1410</v>
      </c>
      <c r="BS26" s="22">
        <v>12.75</v>
      </c>
      <c r="BT26" s="17">
        <v>675</v>
      </c>
      <c r="BU26" s="12" t="s">
        <v>245</v>
      </c>
      <c r="BV26" s="12" t="s">
        <v>728</v>
      </c>
      <c r="BW26" s="12" t="s">
        <v>246</v>
      </c>
      <c r="BX26" s="12" t="s">
        <v>340</v>
      </c>
      <c r="BY26" s="12" t="s">
        <v>926</v>
      </c>
      <c r="BZ26" s="12" t="s">
        <v>696</v>
      </c>
      <c r="CA26" s="12" t="s">
        <v>1088</v>
      </c>
      <c r="CB26" s="12" t="s">
        <v>112</v>
      </c>
      <c r="CC26" s="12">
        <f>+(1400+5000)*5.45</f>
        <v>34880</v>
      </c>
      <c r="CD26" s="12">
        <v>5000</v>
      </c>
      <c r="CE26" s="18">
        <v>15.75</v>
      </c>
      <c r="CF26" s="17">
        <v>11230</v>
      </c>
      <c r="CG26" s="12">
        <v>3.4</v>
      </c>
      <c r="CH26" s="19" t="s">
        <v>340</v>
      </c>
      <c r="CI26" s="12">
        <v>0</v>
      </c>
      <c r="CJ26" s="12">
        <v>0</v>
      </c>
      <c r="CK26" s="12" t="s">
        <v>142</v>
      </c>
      <c r="CL26" s="12">
        <v>0</v>
      </c>
      <c r="CM26" s="12" t="s">
        <v>142</v>
      </c>
      <c r="CN26" s="12" t="s">
        <v>142</v>
      </c>
      <c r="CO26" s="19" t="s">
        <v>340</v>
      </c>
      <c r="CP26" s="12">
        <v>0</v>
      </c>
      <c r="CQ26" s="12">
        <v>0</v>
      </c>
      <c r="CR26" s="12">
        <v>0</v>
      </c>
      <c r="CS26" s="12">
        <v>0</v>
      </c>
      <c r="CT26" s="12">
        <v>0</v>
      </c>
      <c r="CU26" s="12" t="s">
        <v>590</v>
      </c>
      <c r="CV26" s="12" t="s">
        <v>594</v>
      </c>
      <c r="CW26" s="12">
        <v>9575114699</v>
      </c>
      <c r="CX26" s="12" t="s">
        <v>595</v>
      </c>
      <c r="CY26" s="12" t="s">
        <v>340</v>
      </c>
      <c r="CZ26" s="12">
        <f>1018-15</f>
        <v>1003</v>
      </c>
      <c r="DA26" s="12">
        <v>0</v>
      </c>
      <c r="DB26" s="12" t="s">
        <v>927</v>
      </c>
      <c r="DC26" s="12">
        <v>123</v>
      </c>
      <c r="DD26" s="12">
        <v>33</v>
      </c>
      <c r="DE26" s="12">
        <v>33000</v>
      </c>
      <c r="DF26" s="21" t="str">
        <f t="shared" si="16"/>
        <v>Photos\New\COIMBATORE.pptx</v>
      </c>
      <c r="DG26" s="21" t="str">
        <f t="shared" si="17"/>
        <v>Videos\New\COIMBATORE</v>
      </c>
      <c r="DH26" s="21" t="str">
        <f t="shared" si="18"/>
        <v>Manpower\COIMBATORE.pptx</v>
      </c>
    </row>
    <row r="27" spans="1:112" ht="15.75" customHeight="1" x14ac:dyDescent="0.35">
      <c r="A27" s="12" t="s">
        <v>272</v>
      </c>
      <c r="B27" s="12" t="s">
        <v>225</v>
      </c>
      <c r="C27" s="12">
        <v>0</v>
      </c>
      <c r="D27" s="12">
        <v>0</v>
      </c>
      <c r="E27" s="12" t="s">
        <v>729</v>
      </c>
      <c r="F27" s="12">
        <v>0</v>
      </c>
      <c r="G27" s="12">
        <v>0</v>
      </c>
      <c r="H27" s="28" t="s">
        <v>291</v>
      </c>
      <c r="I27" s="28">
        <v>4</v>
      </c>
      <c r="J27" s="28">
        <v>16</v>
      </c>
      <c r="K27" s="28">
        <v>5</v>
      </c>
      <c r="L27" s="12" t="s">
        <v>226</v>
      </c>
      <c r="M27" s="12">
        <v>9915444791</v>
      </c>
      <c r="N27" s="12" t="s">
        <v>904</v>
      </c>
      <c r="O27" s="12" t="s">
        <v>761</v>
      </c>
      <c r="P27" s="12">
        <v>0</v>
      </c>
      <c r="Q27" s="12">
        <v>0</v>
      </c>
      <c r="R27" s="12">
        <v>0</v>
      </c>
      <c r="S27" s="12">
        <v>0</v>
      </c>
      <c r="T27" s="12">
        <v>0</v>
      </c>
      <c r="U27" s="12">
        <v>0</v>
      </c>
      <c r="V27" s="12">
        <v>0</v>
      </c>
      <c r="W27" s="12">
        <v>0</v>
      </c>
      <c r="X27" s="12">
        <v>0</v>
      </c>
      <c r="Y27" s="12">
        <v>0</v>
      </c>
      <c r="Z27" s="12">
        <v>0</v>
      </c>
      <c r="AA27" s="12">
        <v>0</v>
      </c>
      <c r="AB27" s="12">
        <v>0</v>
      </c>
      <c r="AC27" s="12">
        <v>0</v>
      </c>
      <c r="AD27" s="12">
        <v>0</v>
      </c>
      <c r="AE27" s="12">
        <v>0</v>
      </c>
      <c r="AF27" s="12" t="s">
        <v>1093</v>
      </c>
      <c r="AG27" s="12">
        <v>0</v>
      </c>
      <c r="AH27" s="12">
        <v>0</v>
      </c>
      <c r="AI27" s="12">
        <v>1.41</v>
      </c>
      <c r="AJ27" s="12">
        <v>0</v>
      </c>
      <c r="AK27" s="12">
        <v>0</v>
      </c>
      <c r="AL27" s="12">
        <f t="shared" si="12"/>
        <v>0</v>
      </c>
      <c r="AM27" s="22">
        <v>7000</v>
      </c>
      <c r="AN27" s="22">
        <v>1000</v>
      </c>
      <c r="AO27" s="22">
        <v>600</v>
      </c>
      <c r="AP27" s="22">
        <v>0</v>
      </c>
      <c r="AQ27" s="16">
        <v>15.25</v>
      </c>
      <c r="AR27" s="16">
        <v>925</v>
      </c>
      <c r="AS27" s="12">
        <v>0</v>
      </c>
      <c r="AT27" s="12">
        <v>0</v>
      </c>
      <c r="AU27" s="12">
        <v>0</v>
      </c>
      <c r="AV27" s="12">
        <v>0</v>
      </c>
      <c r="AW27" s="12">
        <v>0</v>
      </c>
      <c r="AX27" s="12">
        <v>0</v>
      </c>
      <c r="AY27" s="12">
        <v>0</v>
      </c>
      <c r="AZ27" s="12">
        <v>0</v>
      </c>
      <c r="BA27" s="12">
        <v>0</v>
      </c>
      <c r="BB27" s="12">
        <v>0</v>
      </c>
      <c r="BC27" s="13">
        <f t="shared" si="13"/>
        <v>7610</v>
      </c>
      <c r="BD27" s="13">
        <f t="shared" si="13"/>
        <v>506</v>
      </c>
      <c r="BE27" s="13">
        <f t="shared" si="13"/>
        <v>0</v>
      </c>
      <c r="BF27" s="22">
        <f t="shared" si="13"/>
        <v>0</v>
      </c>
      <c r="BG27" s="16">
        <f t="shared" si="14"/>
        <v>12.75</v>
      </c>
      <c r="BH27" s="16">
        <f t="shared" si="15"/>
        <v>675</v>
      </c>
      <c r="BI27" s="12" t="s">
        <v>225</v>
      </c>
      <c r="BJ27" s="12" t="s">
        <v>729</v>
      </c>
      <c r="BK27" s="12" t="s">
        <v>226</v>
      </c>
      <c r="BL27" s="12">
        <v>9915444791</v>
      </c>
      <c r="BM27" s="12" t="s">
        <v>904</v>
      </c>
      <c r="BN27" s="12" t="s">
        <v>761</v>
      </c>
      <c r="BO27" s="12" t="s">
        <v>112</v>
      </c>
      <c r="BP27" s="12">
        <v>1.1000000000000001</v>
      </c>
      <c r="BQ27" s="51">
        <v>1000</v>
      </c>
      <c r="BR27" s="22">
        <v>1000</v>
      </c>
      <c r="BS27" s="15">
        <v>13</v>
      </c>
      <c r="BT27" s="17">
        <v>700</v>
      </c>
      <c r="BU27" s="12" t="s">
        <v>228</v>
      </c>
      <c r="BV27" s="12" t="s">
        <v>928</v>
      </c>
      <c r="BW27" s="12" t="s">
        <v>229</v>
      </c>
      <c r="BX27" s="12" t="s">
        <v>340</v>
      </c>
      <c r="BY27" s="12" t="s">
        <v>904</v>
      </c>
      <c r="BZ27" s="12" t="s">
        <v>761</v>
      </c>
      <c r="CA27" s="12" t="s">
        <v>1096</v>
      </c>
      <c r="CB27" s="12">
        <v>5.47</v>
      </c>
      <c r="CC27" s="17" t="s">
        <v>230</v>
      </c>
      <c r="CD27" s="12">
        <v>4167</v>
      </c>
      <c r="CE27" s="18">
        <v>16</v>
      </c>
      <c r="CF27" s="17">
        <v>11240</v>
      </c>
      <c r="CG27" s="18">
        <v>3.5</v>
      </c>
      <c r="CH27" s="19" t="s">
        <v>340</v>
      </c>
      <c r="CI27" s="12">
        <v>0</v>
      </c>
      <c r="CJ27" s="12">
        <v>0</v>
      </c>
      <c r="CK27" s="12" t="s">
        <v>142</v>
      </c>
      <c r="CL27" s="12">
        <v>0</v>
      </c>
      <c r="CM27" s="12" t="s">
        <v>142</v>
      </c>
      <c r="CN27" s="12" t="s">
        <v>142</v>
      </c>
      <c r="CO27" s="19" t="s">
        <v>340</v>
      </c>
      <c r="CP27" s="12">
        <v>0</v>
      </c>
      <c r="CQ27" s="12">
        <v>0</v>
      </c>
      <c r="CR27" s="12">
        <v>0</v>
      </c>
      <c r="CS27" s="12">
        <v>0</v>
      </c>
      <c r="CT27" s="12">
        <v>0</v>
      </c>
      <c r="CU27" s="12" t="s">
        <v>227</v>
      </c>
      <c r="CV27" s="12" t="s">
        <v>231</v>
      </c>
      <c r="CW27" s="12">
        <v>9411754195</v>
      </c>
      <c r="CX27" s="12" t="s">
        <v>232</v>
      </c>
      <c r="CY27" s="12" t="s">
        <v>233</v>
      </c>
      <c r="CZ27" s="12">
        <v>1019</v>
      </c>
      <c r="DA27" s="12">
        <v>0</v>
      </c>
      <c r="DB27" s="12" t="s">
        <v>815</v>
      </c>
      <c r="DC27" s="12">
        <v>124</v>
      </c>
      <c r="DD27" s="12">
        <v>34</v>
      </c>
      <c r="DE27" s="12">
        <v>34000</v>
      </c>
      <c r="DF27" s="21" t="str">
        <f t="shared" si="16"/>
        <v>Photos\New\GWALIOR.pptx</v>
      </c>
      <c r="DG27" s="21" t="str">
        <f t="shared" si="17"/>
        <v>Videos\New\GWALIOR</v>
      </c>
      <c r="DH27" s="21" t="str">
        <f t="shared" si="18"/>
        <v>Manpower\GWALIOR.pptx</v>
      </c>
    </row>
    <row r="28" spans="1:112" ht="15.75" customHeight="1" x14ac:dyDescent="0.35">
      <c r="A28" s="12" t="s">
        <v>251</v>
      </c>
      <c r="B28" s="12" t="s">
        <v>565</v>
      </c>
      <c r="C28" s="12">
        <v>0</v>
      </c>
      <c r="D28" s="12">
        <v>0</v>
      </c>
      <c r="E28" s="12" t="s">
        <v>116</v>
      </c>
      <c r="F28" s="12">
        <v>0</v>
      </c>
      <c r="G28" s="12">
        <v>0</v>
      </c>
      <c r="H28" s="28" t="s">
        <v>291</v>
      </c>
      <c r="I28" s="28">
        <v>1.5</v>
      </c>
      <c r="J28" s="28">
        <v>15</v>
      </c>
      <c r="K28" s="28">
        <v>1</v>
      </c>
      <c r="L28" s="12" t="s">
        <v>117</v>
      </c>
      <c r="M28" s="12" t="s">
        <v>929</v>
      </c>
      <c r="N28" s="12" t="s">
        <v>930</v>
      </c>
      <c r="O28" s="12" t="s">
        <v>730</v>
      </c>
      <c r="P28" s="12">
        <v>0</v>
      </c>
      <c r="Q28" s="12">
        <v>0</v>
      </c>
      <c r="R28" s="12">
        <v>0</v>
      </c>
      <c r="S28" s="12">
        <v>0</v>
      </c>
      <c r="T28" s="12">
        <v>0</v>
      </c>
      <c r="U28" s="12">
        <v>0</v>
      </c>
      <c r="V28" s="12">
        <v>0</v>
      </c>
      <c r="W28" s="12">
        <v>0</v>
      </c>
      <c r="X28" s="12">
        <v>0</v>
      </c>
      <c r="Y28" s="12">
        <v>0</v>
      </c>
      <c r="Z28" s="12">
        <v>0</v>
      </c>
      <c r="AA28" s="12">
        <v>0</v>
      </c>
      <c r="AB28" s="12">
        <v>0</v>
      </c>
      <c r="AC28" s="12">
        <v>0</v>
      </c>
      <c r="AD28" s="12">
        <v>0</v>
      </c>
      <c r="AE28" s="12">
        <v>0</v>
      </c>
      <c r="AF28" s="12" t="s">
        <v>1092</v>
      </c>
      <c r="AG28" s="12">
        <v>0</v>
      </c>
      <c r="AH28" s="12">
        <v>0</v>
      </c>
      <c r="AI28" s="12">
        <v>0</v>
      </c>
      <c r="AJ28" s="12">
        <v>0</v>
      </c>
      <c r="AK28" s="12">
        <v>0</v>
      </c>
      <c r="AL28" s="12">
        <f t="shared" si="12"/>
        <v>5.61</v>
      </c>
      <c r="AM28" s="22">
        <v>7100</v>
      </c>
      <c r="AN28" s="22">
        <v>165</v>
      </c>
      <c r="AO28" s="22">
        <v>500</v>
      </c>
      <c r="AP28" s="22">
        <v>0</v>
      </c>
      <c r="AQ28" s="16">
        <v>15.5</v>
      </c>
      <c r="AR28" s="16">
        <v>950</v>
      </c>
      <c r="AS28" s="12">
        <v>0</v>
      </c>
      <c r="AT28" s="12">
        <v>0</v>
      </c>
      <c r="AU28" s="12">
        <v>0</v>
      </c>
      <c r="AV28" s="12">
        <v>0</v>
      </c>
      <c r="AW28" s="12">
        <v>0</v>
      </c>
      <c r="AX28" s="12">
        <v>0</v>
      </c>
      <c r="AY28" s="12">
        <v>0</v>
      </c>
      <c r="AZ28" s="12">
        <v>0</v>
      </c>
      <c r="BA28" s="12">
        <v>0</v>
      </c>
      <c r="BB28" s="12">
        <v>0</v>
      </c>
      <c r="BC28" s="22">
        <f t="shared" si="13"/>
        <v>17000</v>
      </c>
      <c r="BD28" s="22">
        <f t="shared" si="13"/>
        <v>0</v>
      </c>
      <c r="BE28" s="22">
        <f t="shared" si="13"/>
        <v>0</v>
      </c>
      <c r="BF28" s="22">
        <f t="shared" si="13"/>
        <v>0</v>
      </c>
      <c r="BG28" s="16">
        <f t="shared" si="14"/>
        <v>13</v>
      </c>
      <c r="BH28" s="16">
        <f t="shared" si="15"/>
        <v>700</v>
      </c>
      <c r="BI28" s="12">
        <v>0</v>
      </c>
      <c r="BJ28" s="12">
        <v>0</v>
      </c>
      <c r="BK28" s="12">
        <v>0</v>
      </c>
      <c r="BL28" s="12">
        <v>0</v>
      </c>
      <c r="BM28" s="12">
        <v>0</v>
      </c>
      <c r="BN28" s="29">
        <v>0</v>
      </c>
      <c r="BO28" s="29">
        <v>0</v>
      </c>
      <c r="BP28" s="29">
        <v>0</v>
      </c>
      <c r="BQ28" s="18">
        <v>0</v>
      </c>
      <c r="BR28" s="22">
        <v>165</v>
      </c>
      <c r="BS28" s="22">
        <v>13.25</v>
      </c>
      <c r="BT28" s="17">
        <v>725</v>
      </c>
      <c r="BU28" s="12">
        <v>0</v>
      </c>
      <c r="BV28" s="12">
        <v>0</v>
      </c>
      <c r="BW28" s="12">
        <v>0</v>
      </c>
      <c r="BX28" s="12">
        <v>0</v>
      </c>
      <c r="BY28" s="12">
        <v>0</v>
      </c>
      <c r="BZ28" s="12">
        <v>0</v>
      </c>
      <c r="CA28" s="12">
        <v>0</v>
      </c>
      <c r="CB28" s="12">
        <v>0</v>
      </c>
      <c r="CC28" s="12">
        <v>0</v>
      </c>
      <c r="CD28" s="12">
        <v>0</v>
      </c>
      <c r="CE28" s="18">
        <v>16.25</v>
      </c>
      <c r="CF28" s="12">
        <v>11250</v>
      </c>
      <c r="CG28" s="18">
        <v>3.6</v>
      </c>
      <c r="CH28" s="19" t="s">
        <v>340</v>
      </c>
      <c r="CI28" s="12">
        <v>1500</v>
      </c>
      <c r="CJ28" s="18">
        <f>+CI18/9.5</f>
        <v>0</v>
      </c>
      <c r="CK28" s="12">
        <v>10.44</v>
      </c>
      <c r="CL28" s="18">
        <f>+CJ18/18</f>
        <v>0</v>
      </c>
      <c r="CM28" s="12">
        <v>1015</v>
      </c>
      <c r="CN28" s="12" t="s">
        <v>108</v>
      </c>
      <c r="CO28" s="19" t="s">
        <v>340</v>
      </c>
      <c r="CP28" s="12">
        <v>0</v>
      </c>
      <c r="CQ28" s="12">
        <v>0</v>
      </c>
      <c r="CR28" s="12">
        <v>0</v>
      </c>
      <c r="CS28" s="12">
        <v>0</v>
      </c>
      <c r="CT28" s="12">
        <v>0</v>
      </c>
      <c r="CU28" s="12" t="s">
        <v>114</v>
      </c>
      <c r="CV28" s="31" t="s">
        <v>121</v>
      </c>
      <c r="CW28" s="31">
        <v>9456581959</v>
      </c>
      <c r="CX28" s="4" t="s">
        <v>931</v>
      </c>
      <c r="CY28" s="31" t="s">
        <v>122</v>
      </c>
      <c r="CZ28" s="12" t="s">
        <v>142</v>
      </c>
      <c r="DA28" s="12" t="s">
        <v>340</v>
      </c>
      <c r="DB28" s="12" t="s">
        <v>826</v>
      </c>
      <c r="DC28" s="12">
        <v>125</v>
      </c>
      <c r="DD28" s="12">
        <v>35</v>
      </c>
      <c r="DE28" s="12">
        <v>35000</v>
      </c>
      <c r="DF28" s="21" t="str">
        <f t="shared" si="16"/>
        <v>Photos\New\AHMEDABAD.pptx</v>
      </c>
      <c r="DG28" s="21" t="str">
        <f t="shared" si="17"/>
        <v>Videos\New\AHMEDABAD</v>
      </c>
      <c r="DH28" s="21" t="str">
        <f t="shared" si="18"/>
        <v>Manpower\AHMEDABAD.pptx</v>
      </c>
    </row>
    <row r="29" spans="1:112" ht="15.75" customHeight="1" x14ac:dyDescent="0.35">
      <c r="A29" s="12" t="s">
        <v>255</v>
      </c>
      <c r="B29" s="12" t="s">
        <v>123</v>
      </c>
      <c r="C29" s="12" t="s">
        <v>123</v>
      </c>
      <c r="D29" s="12">
        <v>0</v>
      </c>
      <c r="E29" s="12" t="s">
        <v>932</v>
      </c>
      <c r="F29" s="12" t="s">
        <v>932</v>
      </c>
      <c r="G29" s="12">
        <v>0</v>
      </c>
      <c r="H29" s="28" t="s">
        <v>291</v>
      </c>
      <c r="I29" s="28">
        <v>5</v>
      </c>
      <c r="J29" s="28">
        <v>17</v>
      </c>
      <c r="K29" s="28">
        <v>6</v>
      </c>
      <c r="L29" s="12" t="s">
        <v>120</v>
      </c>
      <c r="M29" s="12">
        <v>9455070551</v>
      </c>
      <c r="N29" s="12" t="s">
        <v>933</v>
      </c>
      <c r="O29" s="12" t="s">
        <v>934</v>
      </c>
      <c r="P29" s="28" t="s">
        <v>118</v>
      </c>
      <c r="Q29" s="28">
        <v>5</v>
      </c>
      <c r="R29" s="28">
        <v>17</v>
      </c>
      <c r="S29" s="28">
        <v>7</v>
      </c>
      <c r="T29" s="12" t="s">
        <v>120</v>
      </c>
      <c r="U29" s="12">
        <v>9455070551</v>
      </c>
      <c r="V29" s="12" t="s">
        <v>935</v>
      </c>
      <c r="W29" s="12" t="s">
        <v>936</v>
      </c>
      <c r="X29" s="28">
        <v>0</v>
      </c>
      <c r="Y29" s="28">
        <v>0</v>
      </c>
      <c r="Z29" s="28">
        <v>0</v>
      </c>
      <c r="AA29" s="28">
        <v>0</v>
      </c>
      <c r="AB29" s="28">
        <v>0</v>
      </c>
      <c r="AC29" s="28">
        <v>0</v>
      </c>
      <c r="AD29" s="28">
        <v>0</v>
      </c>
      <c r="AE29" s="28">
        <v>0</v>
      </c>
      <c r="AF29" s="12" t="s">
        <v>1092</v>
      </c>
      <c r="AG29" s="12" t="s">
        <v>1092</v>
      </c>
      <c r="AH29" s="28">
        <v>0</v>
      </c>
      <c r="AI29" s="12">
        <v>9.5500000000000007</v>
      </c>
      <c r="AJ29" s="12">
        <v>5.8</v>
      </c>
      <c r="AK29" s="12">
        <v>0</v>
      </c>
      <c r="AL29" s="12">
        <f>SUM(AI49:AK49)</f>
        <v>5.98</v>
      </c>
      <c r="AM29" s="22">
        <v>50000</v>
      </c>
      <c r="AN29" s="22">
        <v>1110</v>
      </c>
      <c r="AO29" s="22">
        <v>600</v>
      </c>
      <c r="AP29" s="22">
        <v>100</v>
      </c>
      <c r="AQ29" s="16">
        <v>15.75</v>
      </c>
      <c r="AR29" s="16">
        <v>975</v>
      </c>
      <c r="AS29" s="22">
        <v>9758</v>
      </c>
      <c r="AT29" s="22">
        <v>0</v>
      </c>
      <c r="AU29" s="22">
        <v>0</v>
      </c>
      <c r="AV29" s="22">
        <v>0</v>
      </c>
      <c r="AW29" s="16">
        <v>15</v>
      </c>
      <c r="AX29" s="22">
        <v>0</v>
      </c>
      <c r="AY29" s="22">
        <v>0</v>
      </c>
      <c r="AZ29" s="22">
        <v>0</v>
      </c>
      <c r="BA29" s="22">
        <v>0</v>
      </c>
      <c r="BB29" s="16">
        <v>0</v>
      </c>
      <c r="BC29" s="22">
        <f t="shared" ref="BC29:BF30" si="19">SUM(AM49,AS49,AX49)</f>
        <v>10556</v>
      </c>
      <c r="BD29" s="22">
        <f t="shared" si="19"/>
        <v>500</v>
      </c>
      <c r="BE29" s="22">
        <f t="shared" si="19"/>
        <v>700</v>
      </c>
      <c r="BF29" s="22">
        <f t="shared" si="19"/>
        <v>0</v>
      </c>
      <c r="BG29" s="16">
        <f>(AS49*AW49+AX49*BB49+AQ49*AM49)/BC49</f>
        <v>20.75</v>
      </c>
      <c r="BH29" s="16">
        <f>+AR49</f>
        <v>1475</v>
      </c>
      <c r="BI29" s="12">
        <v>0</v>
      </c>
      <c r="BJ29" s="12">
        <v>0</v>
      </c>
      <c r="BK29" s="12">
        <v>0</v>
      </c>
      <c r="BL29" s="12">
        <v>0</v>
      </c>
      <c r="BM29" s="12">
        <v>0</v>
      </c>
      <c r="BN29" s="29">
        <v>0</v>
      </c>
      <c r="BO29" s="29">
        <v>0</v>
      </c>
      <c r="BP29" s="29">
        <v>0</v>
      </c>
      <c r="BQ29" s="18">
        <v>0</v>
      </c>
      <c r="BR29" s="22">
        <v>1110</v>
      </c>
      <c r="BS29" s="22">
        <v>13.5</v>
      </c>
      <c r="BT29" s="17">
        <v>750</v>
      </c>
      <c r="BU29" s="12">
        <v>0</v>
      </c>
      <c r="BV29" s="12">
        <v>0</v>
      </c>
      <c r="BW29" s="12">
        <v>0</v>
      </c>
      <c r="BX29" s="12">
        <v>0</v>
      </c>
      <c r="BY29" s="12">
        <v>0</v>
      </c>
      <c r="BZ29" s="12">
        <v>0</v>
      </c>
      <c r="CA29" s="12">
        <v>0</v>
      </c>
      <c r="CB29" s="12">
        <v>0</v>
      </c>
      <c r="CC29" s="12">
        <v>0</v>
      </c>
      <c r="CD29" s="12">
        <v>0</v>
      </c>
      <c r="CE29" s="18">
        <v>16.5</v>
      </c>
      <c r="CF29" s="17">
        <v>11260</v>
      </c>
      <c r="CG29" s="12">
        <v>3.7</v>
      </c>
      <c r="CH29" s="19" t="s">
        <v>340</v>
      </c>
      <c r="CI29" s="12">
        <f>9.5*1000</f>
        <v>9500</v>
      </c>
      <c r="CJ29" s="18">
        <v>1000</v>
      </c>
      <c r="CK29" s="12">
        <v>10</v>
      </c>
      <c r="CL29" s="18">
        <f>+CJ49/18</f>
        <v>0</v>
      </c>
      <c r="CM29" s="12">
        <v>1018</v>
      </c>
      <c r="CN29" s="12" t="s">
        <v>108</v>
      </c>
      <c r="CO29" s="19" t="s">
        <v>340</v>
      </c>
      <c r="CP29" s="12">
        <v>0</v>
      </c>
      <c r="CQ29" s="12">
        <v>0</v>
      </c>
      <c r="CR29" s="12">
        <v>0</v>
      </c>
      <c r="CS29" s="12">
        <v>0</v>
      </c>
      <c r="CT29" s="12">
        <v>0</v>
      </c>
      <c r="CU29" s="12" t="s">
        <v>115</v>
      </c>
      <c r="CV29" s="31" t="s">
        <v>141</v>
      </c>
      <c r="CW29" s="31">
        <v>9455078641</v>
      </c>
      <c r="CX29" s="4" t="s">
        <v>937</v>
      </c>
      <c r="CY29" s="31">
        <v>0</v>
      </c>
      <c r="CZ29" s="12">
        <f>1017-19</f>
        <v>998</v>
      </c>
      <c r="DA29" s="12">
        <v>0</v>
      </c>
      <c r="DB29" s="12" t="s">
        <v>938</v>
      </c>
      <c r="DC29" s="12">
        <v>126</v>
      </c>
      <c r="DD29" s="12">
        <v>36</v>
      </c>
      <c r="DE29" s="12">
        <v>36000</v>
      </c>
      <c r="DF29" s="21" t="str">
        <f>"Photos\New\"&amp;$A49&amp;".pptx"</f>
        <v>Photos\New\BHAGALPUR.pptx</v>
      </c>
      <c r="DG29" s="21" t="str">
        <f>"Videos\New\"&amp;$A49</f>
        <v>Videos\New\BHAGALPUR</v>
      </c>
      <c r="DH29" s="21" t="str">
        <f>"Manpower\"&amp;$A49&amp;".pptx"</f>
        <v>Manpower\BHAGALPUR.pptx</v>
      </c>
    </row>
    <row r="30" spans="1:112" ht="15.75" customHeight="1" x14ac:dyDescent="0.35">
      <c r="A30" s="12" t="s">
        <v>261</v>
      </c>
      <c r="B30" s="12" t="s">
        <v>189</v>
      </c>
      <c r="C30" s="12">
        <v>0</v>
      </c>
      <c r="D30" s="12">
        <v>0</v>
      </c>
      <c r="E30" s="12" t="s">
        <v>190</v>
      </c>
      <c r="F30" s="12">
        <v>0</v>
      </c>
      <c r="G30" s="12">
        <v>0</v>
      </c>
      <c r="H30" s="28" t="s">
        <v>104</v>
      </c>
      <c r="I30" s="28">
        <v>5</v>
      </c>
      <c r="J30" s="28">
        <v>10</v>
      </c>
      <c r="K30" s="28">
        <v>4</v>
      </c>
      <c r="L30" s="12" t="s">
        <v>193</v>
      </c>
      <c r="M30" s="12">
        <v>9849011940</v>
      </c>
      <c r="N30" s="54" t="s">
        <v>939</v>
      </c>
      <c r="O30" s="12" t="s">
        <v>731</v>
      </c>
      <c r="P30" s="12">
        <v>0</v>
      </c>
      <c r="Q30" s="12">
        <v>0</v>
      </c>
      <c r="R30" s="12">
        <v>0</v>
      </c>
      <c r="S30" s="12">
        <v>0</v>
      </c>
      <c r="T30" s="12">
        <v>0</v>
      </c>
      <c r="U30" s="12">
        <v>0</v>
      </c>
      <c r="V30" s="12">
        <v>0</v>
      </c>
      <c r="W30" s="12">
        <v>0</v>
      </c>
      <c r="X30" s="12">
        <v>0</v>
      </c>
      <c r="Y30" s="12">
        <v>0</v>
      </c>
      <c r="Z30" s="12">
        <v>0</v>
      </c>
      <c r="AA30" s="12">
        <v>0</v>
      </c>
      <c r="AB30" s="12">
        <v>0</v>
      </c>
      <c r="AC30" s="12">
        <v>0</v>
      </c>
      <c r="AD30" s="12">
        <v>0</v>
      </c>
      <c r="AE30" s="12">
        <v>0</v>
      </c>
      <c r="AF30" s="12" t="s">
        <v>1083</v>
      </c>
      <c r="AG30" s="12">
        <v>0</v>
      </c>
      <c r="AH30" s="12">
        <v>0</v>
      </c>
      <c r="AI30" s="18">
        <v>0.95599999999999996</v>
      </c>
      <c r="AJ30" s="12">
        <v>0</v>
      </c>
      <c r="AK30" s="12">
        <v>0</v>
      </c>
      <c r="AL30" s="18">
        <f>SUM(AI50:AK50)</f>
        <v>0</v>
      </c>
      <c r="AM30" s="22">
        <v>14150</v>
      </c>
      <c r="AN30" s="22">
        <v>1500</v>
      </c>
      <c r="AO30" s="22">
        <v>1560</v>
      </c>
      <c r="AP30" s="22">
        <v>0</v>
      </c>
      <c r="AQ30" s="16">
        <v>16</v>
      </c>
      <c r="AR30" s="16">
        <v>1000</v>
      </c>
      <c r="AS30" s="12">
        <v>0</v>
      </c>
      <c r="AT30" s="12">
        <v>0</v>
      </c>
      <c r="AU30" s="12">
        <v>0</v>
      </c>
      <c r="AV30" s="12">
        <v>0</v>
      </c>
      <c r="AW30" s="12">
        <v>0</v>
      </c>
      <c r="AX30" s="12">
        <v>0</v>
      </c>
      <c r="AY30" s="12">
        <v>0</v>
      </c>
      <c r="AZ30" s="12">
        <v>0</v>
      </c>
      <c r="BA30" s="12">
        <v>0</v>
      </c>
      <c r="BB30" s="12">
        <v>0</v>
      </c>
      <c r="BC30" s="13">
        <f t="shared" si="19"/>
        <v>10645</v>
      </c>
      <c r="BD30" s="14">
        <f t="shared" si="19"/>
        <v>1500</v>
      </c>
      <c r="BE30" s="13">
        <f t="shared" si="19"/>
        <v>1600</v>
      </c>
      <c r="BF30" s="22">
        <f t="shared" si="19"/>
        <v>150</v>
      </c>
      <c r="BG30" s="16">
        <f>(AS50*AW50+AX50*BB50+AQ50*AM50)/BC50</f>
        <v>21</v>
      </c>
      <c r="BH30" s="16">
        <f>+AR50</f>
        <v>1500</v>
      </c>
      <c r="BI30" s="12">
        <v>0</v>
      </c>
      <c r="BJ30" s="12">
        <v>0</v>
      </c>
      <c r="BK30" s="12">
        <v>0</v>
      </c>
      <c r="BL30" s="5">
        <v>0</v>
      </c>
      <c r="BM30" s="12">
        <v>0</v>
      </c>
      <c r="BN30" s="12">
        <v>0</v>
      </c>
      <c r="BO30" s="12">
        <v>0</v>
      </c>
      <c r="BP30" s="12">
        <v>0</v>
      </c>
      <c r="BQ30" s="51">
        <v>0</v>
      </c>
      <c r="BR30" s="22">
        <v>0</v>
      </c>
      <c r="BS30" s="22">
        <v>13.75</v>
      </c>
      <c r="BT30" s="17">
        <v>775</v>
      </c>
      <c r="BU30" s="12" t="s">
        <v>191</v>
      </c>
      <c r="BV30" s="12" t="s">
        <v>940</v>
      </c>
      <c r="BW30" s="12" t="s">
        <v>192</v>
      </c>
      <c r="BX30" s="12">
        <v>9619618444</v>
      </c>
      <c r="BY30" s="12" t="s">
        <v>913</v>
      </c>
      <c r="BZ30" s="12" t="s">
        <v>719</v>
      </c>
      <c r="CA30" s="12" t="s">
        <v>1098</v>
      </c>
      <c r="CB30" s="12" t="s">
        <v>112</v>
      </c>
      <c r="CC30" s="12">
        <v>6000</v>
      </c>
      <c r="CD30" s="12">
        <v>6000</v>
      </c>
      <c r="CE30" s="18">
        <v>16.75</v>
      </c>
      <c r="CF30" s="17">
        <v>11270</v>
      </c>
      <c r="CG30" s="18">
        <v>3.8</v>
      </c>
      <c r="CH30" s="19" t="s">
        <v>340</v>
      </c>
      <c r="CI30" s="12">
        <f>1500*9.5</f>
        <v>14250</v>
      </c>
      <c r="CJ30" s="18">
        <f>+CI50/9.5</f>
        <v>1578.9473684210527</v>
      </c>
      <c r="CK30" s="18">
        <v>50</v>
      </c>
      <c r="CL30" s="18">
        <f>+CJ50/18</f>
        <v>87.719298245614041</v>
      </c>
      <c r="CM30" s="12">
        <v>1014</v>
      </c>
      <c r="CN30" s="12" t="s">
        <v>142</v>
      </c>
      <c r="CO30" s="19" t="s">
        <v>340</v>
      </c>
      <c r="CP30" s="12">
        <v>0</v>
      </c>
      <c r="CQ30" s="12">
        <v>0</v>
      </c>
      <c r="CR30" s="12">
        <v>0</v>
      </c>
      <c r="CS30" s="12">
        <v>0</v>
      </c>
      <c r="CT30" s="12">
        <v>0</v>
      </c>
      <c r="CU30" s="12" t="s">
        <v>189</v>
      </c>
      <c r="CV30" s="12" t="s">
        <v>193</v>
      </c>
      <c r="CW30" s="12">
        <v>4015449571</v>
      </c>
      <c r="CX30" s="12" t="s">
        <v>194</v>
      </c>
      <c r="CY30" s="12" t="s">
        <v>195</v>
      </c>
      <c r="CZ30" s="12">
        <f>1017-16</f>
        <v>1001</v>
      </c>
      <c r="DA30" s="12">
        <v>0</v>
      </c>
      <c r="DB30" s="12" t="s">
        <v>941</v>
      </c>
      <c r="DC30" s="12">
        <v>127</v>
      </c>
      <c r="DD30" s="12">
        <v>37</v>
      </c>
      <c r="DE30" s="12">
        <v>37000</v>
      </c>
      <c r="DF30" s="21" t="str">
        <f>"Photos\New\"&amp;$A50&amp;".pptx"</f>
        <v>Photos\New\ANAND.pptx</v>
      </c>
      <c r="DG30" s="21" t="str">
        <f>"Videos\New\"&amp;$A50</f>
        <v>Videos\New\ANAND</v>
      </c>
      <c r="DH30" s="21" t="str">
        <f>"Manpower\"&amp;$A50&amp;".pptx"</f>
        <v>Manpower\ANAND.pptx</v>
      </c>
    </row>
    <row r="31" spans="1:112" ht="15.75" customHeight="1" x14ac:dyDescent="0.35">
      <c r="A31" s="12" t="s">
        <v>263</v>
      </c>
      <c r="B31" s="12" t="s">
        <v>220</v>
      </c>
      <c r="C31" s="12">
        <v>0</v>
      </c>
      <c r="D31" s="12">
        <v>0</v>
      </c>
      <c r="E31" s="12" t="s">
        <v>221</v>
      </c>
      <c r="F31" s="12">
        <v>0</v>
      </c>
      <c r="G31" s="12">
        <v>0</v>
      </c>
      <c r="H31" s="28" t="s">
        <v>208</v>
      </c>
      <c r="I31" s="28">
        <v>4</v>
      </c>
      <c r="J31" s="28">
        <v>14</v>
      </c>
      <c r="K31" s="28">
        <v>5</v>
      </c>
      <c r="L31" s="12" t="s">
        <v>222</v>
      </c>
      <c r="M31" s="12">
        <v>9880877566</v>
      </c>
      <c r="N31" s="12" t="s">
        <v>942</v>
      </c>
      <c r="O31" s="12" t="s">
        <v>732</v>
      </c>
      <c r="P31" s="12">
        <v>0</v>
      </c>
      <c r="Q31" s="12">
        <v>0</v>
      </c>
      <c r="R31" s="12">
        <v>0</v>
      </c>
      <c r="S31" s="12">
        <v>0</v>
      </c>
      <c r="T31" s="12">
        <v>0</v>
      </c>
      <c r="U31" s="12">
        <v>0</v>
      </c>
      <c r="V31" s="12">
        <v>0</v>
      </c>
      <c r="W31" s="12">
        <v>0</v>
      </c>
      <c r="X31" s="12">
        <v>0</v>
      </c>
      <c r="Y31" s="12">
        <v>0</v>
      </c>
      <c r="Z31" s="12">
        <v>0</v>
      </c>
      <c r="AA31" s="12">
        <v>0</v>
      </c>
      <c r="AB31" s="12">
        <v>0</v>
      </c>
      <c r="AC31" s="12">
        <v>0</v>
      </c>
      <c r="AD31" s="12">
        <v>0</v>
      </c>
      <c r="AE31" s="12">
        <v>0</v>
      </c>
      <c r="AF31" s="12" t="s">
        <v>1083</v>
      </c>
      <c r="AG31" s="12">
        <v>0</v>
      </c>
      <c r="AH31" s="12">
        <v>0</v>
      </c>
      <c r="AI31" s="12">
        <v>1.19</v>
      </c>
      <c r="AJ31" s="12">
        <v>0</v>
      </c>
      <c r="AK31" s="12">
        <v>0</v>
      </c>
      <c r="AL31" s="18">
        <f>SUM(AI50:AK50)</f>
        <v>0</v>
      </c>
      <c r="AM31" s="22">
        <v>8000</v>
      </c>
      <c r="AN31" s="22">
        <f>+(5500+1100)/9.5</f>
        <v>694.73684210526312</v>
      </c>
      <c r="AO31" s="22">
        <v>1000</v>
      </c>
      <c r="AP31" s="22">
        <v>0</v>
      </c>
      <c r="AQ31" s="16">
        <v>16.25</v>
      </c>
      <c r="AR31" s="16">
        <v>1025</v>
      </c>
      <c r="AS31" s="12">
        <v>0</v>
      </c>
      <c r="AT31" s="12">
        <v>0</v>
      </c>
      <c r="AU31" s="12">
        <v>0</v>
      </c>
      <c r="AV31" s="12">
        <v>0</v>
      </c>
      <c r="AW31" s="12">
        <v>0</v>
      </c>
      <c r="AX31" s="12">
        <v>0</v>
      </c>
      <c r="AY31" s="12">
        <v>0</v>
      </c>
      <c r="AZ31" s="12">
        <v>0</v>
      </c>
      <c r="BA31" s="12">
        <v>0</v>
      </c>
      <c r="BB31" s="12">
        <v>0</v>
      </c>
      <c r="BC31" s="13">
        <f>SUM(AM50,AS50,AX50)</f>
        <v>10645</v>
      </c>
      <c r="BD31" s="13">
        <f>SUM(AN50,AT50,AY50)</f>
        <v>1500</v>
      </c>
      <c r="BE31" s="13">
        <f>SUM(AO50,AU50,AZ50)</f>
        <v>1600</v>
      </c>
      <c r="BF31" s="22">
        <f>SUM(AP50,AV50,BA50)</f>
        <v>150</v>
      </c>
      <c r="BG31" s="16">
        <f>(AS50*AW50+AX50*BB50+AQ50*AM50)/BC50</f>
        <v>21</v>
      </c>
      <c r="BH31" s="16">
        <f>+AR50</f>
        <v>1500</v>
      </c>
      <c r="BI31" s="12">
        <v>0</v>
      </c>
      <c r="BJ31" s="12">
        <v>0</v>
      </c>
      <c r="BK31" s="12">
        <v>0</v>
      </c>
      <c r="BL31" s="12">
        <v>0</v>
      </c>
      <c r="BM31" s="12">
        <v>0</v>
      </c>
      <c r="BN31" s="12">
        <v>0</v>
      </c>
      <c r="BO31" s="12">
        <v>0</v>
      </c>
      <c r="BP31" s="12">
        <v>0</v>
      </c>
      <c r="BQ31" s="18">
        <v>0</v>
      </c>
      <c r="BR31" s="12">
        <v>0</v>
      </c>
      <c r="BS31" s="15">
        <v>14</v>
      </c>
      <c r="BT31" s="17">
        <v>800</v>
      </c>
      <c r="BU31" s="12" t="s">
        <v>219</v>
      </c>
      <c r="BV31" s="12" t="s">
        <v>221</v>
      </c>
      <c r="BW31" s="12" t="s">
        <v>223</v>
      </c>
      <c r="BX31" s="12">
        <v>9541180840</v>
      </c>
      <c r="BY31" s="12" t="s">
        <v>943</v>
      </c>
      <c r="BZ31" s="12" t="s">
        <v>686</v>
      </c>
      <c r="CA31" s="12" t="s">
        <v>1090</v>
      </c>
      <c r="CB31" s="12" t="s">
        <v>112</v>
      </c>
      <c r="CC31" s="12">
        <f>7000/5.5</f>
        <v>1272.7272727272727</v>
      </c>
      <c r="CD31" s="12">
        <v>1000</v>
      </c>
      <c r="CE31" s="18">
        <v>17</v>
      </c>
      <c r="CF31" s="17">
        <v>11280</v>
      </c>
      <c r="CG31" s="18">
        <v>3.9</v>
      </c>
      <c r="CH31" s="19" t="s">
        <v>340</v>
      </c>
      <c r="CI31" s="12">
        <v>1100</v>
      </c>
      <c r="CJ31" s="18">
        <f>+CI50/9.5</f>
        <v>1578.9473684210527</v>
      </c>
      <c r="CK31" s="18">
        <v>0.61</v>
      </c>
      <c r="CL31" s="18">
        <f>+CJ50/18</f>
        <v>87.719298245614041</v>
      </c>
      <c r="CM31" s="12">
        <v>1005</v>
      </c>
      <c r="CN31" s="12" t="s">
        <v>108</v>
      </c>
      <c r="CO31" s="19" t="s">
        <v>340</v>
      </c>
      <c r="CP31" s="12">
        <v>0</v>
      </c>
      <c r="CQ31" s="12">
        <v>0</v>
      </c>
      <c r="CR31" s="12">
        <v>0</v>
      </c>
      <c r="CS31" s="12">
        <v>0</v>
      </c>
      <c r="CT31" s="12">
        <v>0</v>
      </c>
      <c r="CU31" s="12" t="s">
        <v>215</v>
      </c>
      <c r="CV31" s="12" t="s">
        <v>216</v>
      </c>
      <c r="CW31" s="12">
        <v>8561111158</v>
      </c>
      <c r="CX31" s="12" t="s">
        <v>217</v>
      </c>
      <c r="CY31" s="12" t="s">
        <v>218</v>
      </c>
      <c r="CZ31" s="12">
        <f>1018-14</f>
        <v>1004</v>
      </c>
      <c r="DA31" s="12">
        <v>0</v>
      </c>
      <c r="DB31" s="12" t="s">
        <v>862</v>
      </c>
      <c r="DC31" s="12">
        <v>128</v>
      </c>
      <c r="DD31" s="12">
        <v>38</v>
      </c>
      <c r="DE31" s="12">
        <v>38000</v>
      </c>
      <c r="DF31" s="21" t="str">
        <f>"Photos\New\"&amp;$A50&amp;".pptx"</f>
        <v>Photos\New\ANAND.pptx</v>
      </c>
      <c r="DG31" s="21" t="str">
        <f>"Videos\New\"&amp;$A50</f>
        <v>Videos\New\ANAND</v>
      </c>
      <c r="DH31" s="21" t="str">
        <f>"Manpower\"&amp;$A50&amp;".pptx"</f>
        <v>Manpower\ANAND.pptx</v>
      </c>
    </row>
    <row r="32" spans="1:112" ht="15.75" customHeight="1" x14ac:dyDescent="0.35">
      <c r="A32" s="12" t="s">
        <v>264</v>
      </c>
      <c r="B32" s="12" t="s">
        <v>224</v>
      </c>
      <c r="C32" s="12">
        <v>0</v>
      </c>
      <c r="D32" s="12">
        <v>0</v>
      </c>
      <c r="E32" s="12" t="s">
        <v>944</v>
      </c>
      <c r="F32" s="12">
        <v>0</v>
      </c>
      <c r="G32" s="12">
        <v>0</v>
      </c>
      <c r="H32" s="28" t="s">
        <v>291</v>
      </c>
      <c r="I32" s="28">
        <v>4</v>
      </c>
      <c r="J32" s="28">
        <v>50</v>
      </c>
      <c r="K32" s="28">
        <v>4</v>
      </c>
      <c r="L32" s="12" t="s">
        <v>224</v>
      </c>
      <c r="M32" s="12">
        <v>9895965674</v>
      </c>
      <c r="N32" s="12" t="s">
        <v>945</v>
      </c>
      <c r="O32" s="12" t="s">
        <v>733</v>
      </c>
      <c r="P32" s="12">
        <v>0</v>
      </c>
      <c r="Q32" s="12">
        <v>0</v>
      </c>
      <c r="R32" s="12">
        <v>0</v>
      </c>
      <c r="S32" s="12">
        <v>0</v>
      </c>
      <c r="T32" s="12">
        <v>0</v>
      </c>
      <c r="U32" s="12">
        <v>0</v>
      </c>
      <c r="V32" s="12">
        <v>0</v>
      </c>
      <c r="W32" s="12">
        <v>0</v>
      </c>
      <c r="X32" s="12">
        <v>0</v>
      </c>
      <c r="Y32" s="12">
        <v>0</v>
      </c>
      <c r="Z32" s="12">
        <v>0</v>
      </c>
      <c r="AA32" s="12">
        <v>0</v>
      </c>
      <c r="AB32" s="12">
        <v>0</v>
      </c>
      <c r="AC32" s="12">
        <v>0</v>
      </c>
      <c r="AD32" s="12">
        <v>0</v>
      </c>
      <c r="AE32" s="12">
        <v>0</v>
      </c>
      <c r="AF32" s="12" t="s">
        <v>1083</v>
      </c>
      <c r="AG32" s="12">
        <v>0</v>
      </c>
      <c r="AH32" s="12">
        <v>0</v>
      </c>
      <c r="AI32" s="12">
        <v>5.46</v>
      </c>
      <c r="AJ32" s="12">
        <v>0</v>
      </c>
      <c r="AK32" s="12">
        <v>0</v>
      </c>
      <c r="AL32" s="12">
        <f>SUM(AI54:AK54)</f>
        <v>0</v>
      </c>
      <c r="AM32" s="22">
        <v>14000</v>
      </c>
      <c r="AN32" s="22">
        <f>6000/8</f>
        <v>750</v>
      </c>
      <c r="AO32" s="22">
        <v>0</v>
      </c>
      <c r="AP32" s="22">
        <v>0</v>
      </c>
      <c r="AQ32" s="16">
        <v>16.5</v>
      </c>
      <c r="AR32" s="16">
        <v>1050</v>
      </c>
      <c r="AS32" s="12">
        <v>0</v>
      </c>
      <c r="AT32" s="12">
        <v>0</v>
      </c>
      <c r="AU32" s="12">
        <v>0</v>
      </c>
      <c r="AV32" s="12">
        <v>0</v>
      </c>
      <c r="AW32" s="12">
        <v>0</v>
      </c>
      <c r="AX32" s="12">
        <v>0</v>
      </c>
      <c r="AY32" s="12">
        <v>0</v>
      </c>
      <c r="AZ32" s="12">
        <v>0</v>
      </c>
      <c r="BA32" s="12">
        <v>0</v>
      </c>
      <c r="BB32" s="12">
        <v>0</v>
      </c>
      <c r="BC32" s="13">
        <f>SUM(AM54,AS54,AX54)</f>
        <v>11000</v>
      </c>
      <c r="BD32" s="14">
        <f>SUM(AN54,AT54,AY54)</f>
        <v>0</v>
      </c>
      <c r="BE32" s="13">
        <f>SUM(AO54,AU54,AZ54)</f>
        <v>0</v>
      </c>
      <c r="BF32" s="22">
        <f>SUM(AP54,AV54,BA54)</f>
        <v>0</v>
      </c>
      <c r="BG32" s="16">
        <f>(AS54*AW54+AX54*BB54+AQ54*AM54)/BC54</f>
        <v>22</v>
      </c>
      <c r="BH32" s="16">
        <f>+AR54</f>
        <v>1600</v>
      </c>
      <c r="BI32" s="12">
        <v>0</v>
      </c>
      <c r="BJ32" s="12">
        <v>0</v>
      </c>
      <c r="BK32" s="12">
        <v>0</v>
      </c>
      <c r="BL32" s="12">
        <v>0</v>
      </c>
      <c r="BM32" s="12">
        <v>0</v>
      </c>
      <c r="BN32" s="12">
        <v>0</v>
      </c>
      <c r="BO32" s="12">
        <v>0</v>
      </c>
      <c r="BP32" s="12">
        <v>0</v>
      </c>
      <c r="BQ32" s="51">
        <v>0</v>
      </c>
      <c r="BR32" s="22">
        <v>0</v>
      </c>
      <c r="BS32" s="22">
        <v>14.25</v>
      </c>
      <c r="BT32" s="17">
        <v>825</v>
      </c>
      <c r="BU32" s="12">
        <v>0</v>
      </c>
      <c r="BV32" s="12">
        <v>0</v>
      </c>
      <c r="BW32" s="12">
        <v>0</v>
      </c>
      <c r="BX32" s="12">
        <v>0</v>
      </c>
      <c r="BY32" s="12">
        <v>0</v>
      </c>
      <c r="BZ32" s="12">
        <v>0</v>
      </c>
      <c r="CA32" s="12">
        <v>0</v>
      </c>
      <c r="CB32" s="12">
        <v>0</v>
      </c>
      <c r="CC32" s="12">
        <v>0</v>
      </c>
      <c r="CD32" s="12">
        <v>0</v>
      </c>
      <c r="CE32" s="18">
        <v>17.25</v>
      </c>
      <c r="CF32" s="12">
        <v>11290</v>
      </c>
      <c r="CG32" s="12">
        <v>4</v>
      </c>
      <c r="CH32" s="19" t="s">
        <v>340</v>
      </c>
      <c r="CI32" s="12">
        <v>5000</v>
      </c>
      <c r="CJ32" s="18">
        <f>+CI54/9.5</f>
        <v>0</v>
      </c>
      <c r="CK32" s="18">
        <v>7</v>
      </c>
      <c r="CL32" s="18">
        <f>+CJ54/18</f>
        <v>0</v>
      </c>
      <c r="CM32" s="12">
        <v>1009</v>
      </c>
      <c r="CN32" s="12" t="s">
        <v>108</v>
      </c>
      <c r="CO32" s="19" t="s">
        <v>340</v>
      </c>
      <c r="CP32" s="12">
        <v>10000</v>
      </c>
      <c r="CQ32" s="17">
        <f>+CP54/5.5*16</f>
        <v>0</v>
      </c>
      <c r="CR32" s="12">
        <v>50</v>
      </c>
      <c r="CS32" s="12">
        <v>1016</v>
      </c>
      <c r="CT32" s="12" t="s">
        <v>108</v>
      </c>
      <c r="CU32" s="12" t="s">
        <v>212</v>
      </c>
      <c r="CV32" s="12" t="s">
        <v>213</v>
      </c>
      <c r="CW32" s="12">
        <v>9846045105</v>
      </c>
      <c r="CX32" s="12" t="s">
        <v>697</v>
      </c>
      <c r="CY32" s="12" t="s">
        <v>214</v>
      </c>
      <c r="CZ32" s="12">
        <v>1010</v>
      </c>
      <c r="DA32" s="12">
        <v>0</v>
      </c>
      <c r="DB32" s="12" t="s">
        <v>946</v>
      </c>
      <c r="DC32" s="12">
        <v>129</v>
      </c>
      <c r="DD32" s="12">
        <v>39</v>
      </c>
      <c r="DE32" s="12">
        <v>39000</v>
      </c>
      <c r="DF32" s="21" t="str">
        <f>"Photos\New\"&amp;$A54&amp;".pptx"</f>
        <v>Photos\New\SRINAGAR.pptx</v>
      </c>
      <c r="DG32" s="21" t="str">
        <f>"Videos\New\"&amp;$A54</f>
        <v>Videos\New\SRINAGAR</v>
      </c>
      <c r="DH32" s="21" t="str">
        <f>"Manpower\"&amp;$A54&amp;".pptx"</f>
        <v>Manpower\SRINAGAR.pptx</v>
      </c>
    </row>
    <row r="33" spans="1:112" ht="15.75" customHeight="1" x14ac:dyDescent="0.35">
      <c r="A33" s="12" t="s">
        <v>309</v>
      </c>
      <c r="B33" s="12" t="s">
        <v>286</v>
      </c>
      <c r="C33" s="12">
        <v>0</v>
      </c>
      <c r="D33" s="12">
        <v>0</v>
      </c>
      <c r="E33" s="12" t="s">
        <v>734</v>
      </c>
      <c r="F33" s="12">
        <v>0</v>
      </c>
      <c r="G33" s="12">
        <v>0</v>
      </c>
      <c r="H33" s="28" t="s">
        <v>291</v>
      </c>
      <c r="I33" s="28">
        <v>4</v>
      </c>
      <c r="J33" s="28">
        <v>10</v>
      </c>
      <c r="K33" s="28">
        <v>1</v>
      </c>
      <c r="L33" s="12" t="s">
        <v>614</v>
      </c>
      <c r="M33" s="12">
        <v>9448101514</v>
      </c>
      <c r="N33" s="12" t="s">
        <v>947</v>
      </c>
      <c r="O33" s="12" t="s">
        <v>948</v>
      </c>
      <c r="P33" s="12">
        <v>0</v>
      </c>
      <c r="Q33" s="12">
        <v>0</v>
      </c>
      <c r="R33" s="12">
        <v>0</v>
      </c>
      <c r="S33" s="12">
        <v>0</v>
      </c>
      <c r="T33" s="12">
        <v>0</v>
      </c>
      <c r="U33" s="12">
        <v>0</v>
      </c>
      <c r="V33" s="12">
        <v>0</v>
      </c>
      <c r="W33" s="12">
        <v>0</v>
      </c>
      <c r="X33" s="12">
        <v>0</v>
      </c>
      <c r="Y33" s="12">
        <v>0</v>
      </c>
      <c r="Z33" s="12">
        <v>0</v>
      </c>
      <c r="AA33" s="12">
        <v>0</v>
      </c>
      <c r="AB33" s="12">
        <v>0</v>
      </c>
      <c r="AC33" s="12">
        <v>0</v>
      </c>
      <c r="AD33" s="12">
        <v>0</v>
      </c>
      <c r="AE33" s="12">
        <v>0</v>
      </c>
      <c r="AF33" s="12" t="s">
        <v>1093</v>
      </c>
      <c r="AG33" s="12">
        <v>0</v>
      </c>
      <c r="AH33" s="12">
        <v>0</v>
      </c>
      <c r="AI33" s="12">
        <v>1.5</v>
      </c>
      <c r="AJ33" s="12">
        <v>0</v>
      </c>
      <c r="AK33" s="12">
        <v>0</v>
      </c>
      <c r="AL33" s="12">
        <f t="shared" ref="AL33:AL38" si="20">SUM(AI53:AK53)</f>
        <v>6.6954100000000007</v>
      </c>
      <c r="AM33" s="22">
        <v>5000</v>
      </c>
      <c r="AN33" s="22">
        <v>0</v>
      </c>
      <c r="AO33" s="22">
        <v>500</v>
      </c>
      <c r="AP33" s="22">
        <v>0</v>
      </c>
      <c r="AQ33" s="16">
        <v>16.75</v>
      </c>
      <c r="AR33" s="16">
        <v>1075</v>
      </c>
      <c r="AS33" s="12">
        <v>0</v>
      </c>
      <c r="AT33" s="12">
        <v>0</v>
      </c>
      <c r="AU33" s="12">
        <v>0</v>
      </c>
      <c r="AV33" s="12">
        <v>0</v>
      </c>
      <c r="AW33" s="12">
        <v>0</v>
      </c>
      <c r="AX33" s="12">
        <v>0</v>
      </c>
      <c r="AY33" s="12">
        <v>0</v>
      </c>
      <c r="AZ33" s="12">
        <v>0</v>
      </c>
      <c r="BA33" s="12">
        <v>0</v>
      </c>
      <c r="BB33" s="12">
        <v>0</v>
      </c>
      <c r="BC33" s="13">
        <f t="shared" ref="BC33:BF38" si="21">SUM(AM53,AS53,AX53)</f>
        <v>21198</v>
      </c>
      <c r="BD33" s="13">
        <f t="shared" si="21"/>
        <v>0</v>
      </c>
      <c r="BE33" s="13">
        <f t="shared" si="21"/>
        <v>0</v>
      </c>
      <c r="BF33" s="22">
        <f t="shared" si="21"/>
        <v>0</v>
      </c>
      <c r="BG33" s="16">
        <f t="shared" ref="BG33:BG38" si="22">(AS53*AW53+AX53*BB53+AQ53*AM53)/BC53</f>
        <v>17.783328615907163</v>
      </c>
      <c r="BH33" s="16">
        <f t="shared" ref="BH33:BH38" si="23">+AR53</f>
        <v>1575</v>
      </c>
      <c r="BI33" s="12" t="s">
        <v>285</v>
      </c>
      <c r="BJ33" s="12" t="s">
        <v>615</v>
      </c>
      <c r="BK33" s="12" t="s">
        <v>616</v>
      </c>
      <c r="BL33" s="12">
        <v>9880161850</v>
      </c>
      <c r="BM33" s="12" t="s">
        <v>816</v>
      </c>
      <c r="BN33" s="12" t="s">
        <v>696</v>
      </c>
      <c r="BO33" s="12" t="s">
        <v>112</v>
      </c>
      <c r="BP33" s="12">
        <v>0</v>
      </c>
      <c r="BQ33" s="51">
        <f>10*18</f>
        <v>180</v>
      </c>
      <c r="BR33" s="22">
        <v>560</v>
      </c>
      <c r="BS33" s="22">
        <v>14.5</v>
      </c>
      <c r="BT33" s="17">
        <v>850</v>
      </c>
      <c r="BU33" s="12" t="s">
        <v>285</v>
      </c>
      <c r="BV33" s="12" t="s">
        <v>615</v>
      </c>
      <c r="BW33" s="12" t="s">
        <v>616</v>
      </c>
      <c r="BX33" s="12">
        <v>9880161850</v>
      </c>
      <c r="BY33" s="12" t="s">
        <v>816</v>
      </c>
      <c r="BZ33" s="12" t="s">
        <v>696</v>
      </c>
      <c r="CA33" s="12" t="s">
        <v>112</v>
      </c>
      <c r="CB33" s="12">
        <v>0</v>
      </c>
      <c r="CC33" s="12">
        <v>1460</v>
      </c>
      <c r="CD33" s="12">
        <v>1460</v>
      </c>
      <c r="CE33" s="18">
        <v>17.5</v>
      </c>
      <c r="CF33" s="17">
        <v>11300</v>
      </c>
      <c r="CG33" s="18">
        <v>4.0999999999999996</v>
      </c>
      <c r="CH33" s="19" t="s">
        <v>340</v>
      </c>
      <c r="CI33" s="12">
        <v>0</v>
      </c>
      <c r="CJ33" s="12">
        <v>0</v>
      </c>
      <c r="CK33" s="12" t="s">
        <v>142</v>
      </c>
      <c r="CL33" s="12">
        <v>0</v>
      </c>
      <c r="CM33" s="12" t="s">
        <v>142</v>
      </c>
      <c r="CN33" s="12" t="s">
        <v>142</v>
      </c>
      <c r="CO33" s="19" t="s">
        <v>340</v>
      </c>
      <c r="CP33" s="12">
        <v>0</v>
      </c>
      <c r="CQ33" s="12">
        <v>0</v>
      </c>
      <c r="CR33" s="12">
        <v>0</v>
      </c>
      <c r="CS33" s="12">
        <v>0</v>
      </c>
      <c r="CT33" s="12">
        <v>0</v>
      </c>
      <c r="CU33" s="12" t="s">
        <v>282</v>
      </c>
      <c r="CV33" s="12" t="s">
        <v>283</v>
      </c>
      <c r="CW33" s="12">
        <v>9845555171</v>
      </c>
      <c r="CX33" s="12" t="s">
        <v>735</v>
      </c>
      <c r="CY33" s="12" t="s">
        <v>284</v>
      </c>
      <c r="CZ33" s="12">
        <v>1019</v>
      </c>
      <c r="DA33" s="12">
        <v>0</v>
      </c>
      <c r="DB33" s="12" t="s">
        <v>846</v>
      </c>
      <c r="DC33" s="12">
        <v>130</v>
      </c>
      <c r="DD33" s="12">
        <v>40</v>
      </c>
      <c r="DE33" s="12">
        <v>40000</v>
      </c>
      <c r="DF33" s="21" t="str">
        <f t="shared" ref="DF33:DF38" si="24">"Photos\New\"&amp;$A53&amp;".pptx"</f>
        <v>Photos\New\NORTH DELHI.pptx</v>
      </c>
      <c r="DG33" s="21" t="str">
        <f t="shared" ref="DG33:DG38" si="25">"Videos\New\"&amp;$A53</f>
        <v>Videos\New\NORTH DELHI</v>
      </c>
      <c r="DH33" s="21" t="str">
        <f t="shared" ref="DH33:DH38" si="26">"Manpower\"&amp;$A53&amp;".pptx"</f>
        <v>Manpower\NORTH DELHI.pptx</v>
      </c>
    </row>
    <row r="34" spans="1:112" ht="15.75" customHeight="1" x14ac:dyDescent="0.35">
      <c r="A34" s="12" t="s">
        <v>330</v>
      </c>
      <c r="B34" s="12" t="s">
        <v>619</v>
      </c>
      <c r="C34" s="12">
        <v>0</v>
      </c>
      <c r="D34" s="12">
        <v>0</v>
      </c>
      <c r="E34" s="12" t="s">
        <v>620</v>
      </c>
      <c r="F34" s="12">
        <v>0</v>
      </c>
      <c r="G34" s="12">
        <v>0</v>
      </c>
      <c r="H34" s="28" t="s">
        <v>353</v>
      </c>
      <c r="I34" s="28">
        <v>1</v>
      </c>
      <c r="J34" s="28">
        <v>15</v>
      </c>
      <c r="K34" s="28">
        <v>1</v>
      </c>
      <c r="L34" s="12" t="s">
        <v>619</v>
      </c>
      <c r="M34" s="12">
        <v>9555605918</v>
      </c>
      <c r="N34" s="12" t="s">
        <v>949</v>
      </c>
      <c r="O34" s="12" t="s">
        <v>950</v>
      </c>
      <c r="P34" s="12">
        <v>0</v>
      </c>
      <c r="Q34" s="12">
        <v>0</v>
      </c>
      <c r="R34" s="12">
        <v>0</v>
      </c>
      <c r="S34" s="12">
        <v>0</v>
      </c>
      <c r="T34" s="12">
        <v>0</v>
      </c>
      <c r="U34" s="12">
        <v>0</v>
      </c>
      <c r="V34" s="12">
        <v>0</v>
      </c>
      <c r="W34" s="12">
        <v>0</v>
      </c>
      <c r="X34" s="12">
        <v>0</v>
      </c>
      <c r="Y34" s="12">
        <v>0</v>
      </c>
      <c r="Z34" s="12">
        <v>0</v>
      </c>
      <c r="AA34" s="12">
        <v>0</v>
      </c>
      <c r="AB34" s="12">
        <v>0</v>
      </c>
      <c r="AC34" s="12">
        <v>0</v>
      </c>
      <c r="AD34" s="12">
        <v>0</v>
      </c>
      <c r="AE34" s="12">
        <v>0</v>
      </c>
      <c r="AF34" s="12" t="s">
        <v>1083</v>
      </c>
      <c r="AG34" s="12">
        <v>0</v>
      </c>
      <c r="AH34" s="12">
        <v>0</v>
      </c>
      <c r="AI34" s="12">
        <v>0</v>
      </c>
      <c r="AJ34" s="12">
        <v>0</v>
      </c>
      <c r="AK34" s="12">
        <v>0</v>
      </c>
      <c r="AL34" s="12">
        <f t="shared" si="20"/>
        <v>0</v>
      </c>
      <c r="AM34" s="22">
        <v>10000</v>
      </c>
      <c r="AN34" s="22">
        <v>1000</v>
      </c>
      <c r="AO34" s="22">
        <v>850</v>
      </c>
      <c r="AP34" s="22">
        <v>0</v>
      </c>
      <c r="AQ34" s="16">
        <v>17</v>
      </c>
      <c r="AR34" s="16">
        <v>1100</v>
      </c>
      <c r="AS34" s="12">
        <v>0</v>
      </c>
      <c r="AT34" s="12">
        <v>0</v>
      </c>
      <c r="AU34" s="12">
        <v>0</v>
      </c>
      <c r="AV34" s="12">
        <v>0</v>
      </c>
      <c r="AW34" s="12">
        <v>0</v>
      </c>
      <c r="AX34" s="12">
        <v>0</v>
      </c>
      <c r="AY34" s="12">
        <v>0</v>
      </c>
      <c r="AZ34" s="12">
        <v>0</v>
      </c>
      <c r="BA34" s="12">
        <v>0</v>
      </c>
      <c r="BB34" s="12">
        <v>0</v>
      </c>
      <c r="BC34" s="13">
        <f t="shared" si="21"/>
        <v>11000</v>
      </c>
      <c r="BD34" s="14">
        <f t="shared" si="21"/>
        <v>0</v>
      </c>
      <c r="BE34" s="13">
        <f t="shared" si="21"/>
        <v>0</v>
      </c>
      <c r="BF34" s="22">
        <f t="shared" si="21"/>
        <v>0</v>
      </c>
      <c r="BG34" s="16">
        <f t="shared" si="22"/>
        <v>22</v>
      </c>
      <c r="BH34" s="16">
        <f t="shared" si="23"/>
        <v>1600</v>
      </c>
      <c r="BI34" s="12">
        <v>0</v>
      </c>
      <c r="BJ34" s="12">
        <v>0</v>
      </c>
      <c r="BK34" s="12">
        <v>0</v>
      </c>
      <c r="BL34" s="12">
        <v>0</v>
      </c>
      <c r="BM34" s="12">
        <v>0</v>
      </c>
      <c r="BN34" s="12">
        <v>0</v>
      </c>
      <c r="BO34" s="12">
        <v>0</v>
      </c>
      <c r="BP34" s="12">
        <v>0</v>
      </c>
      <c r="BQ34" s="18">
        <v>0</v>
      </c>
      <c r="BR34" s="12">
        <v>0</v>
      </c>
      <c r="BS34" s="22">
        <v>14.75</v>
      </c>
      <c r="BT34" s="17">
        <v>875</v>
      </c>
      <c r="BU34" s="12" t="s">
        <v>331</v>
      </c>
      <c r="BV34" s="12" t="s">
        <v>736</v>
      </c>
      <c r="BW34" s="12" t="s">
        <v>332</v>
      </c>
      <c r="BX34" s="12">
        <v>9945501457</v>
      </c>
      <c r="BY34" s="12" t="s">
        <v>951</v>
      </c>
      <c r="BZ34" s="12" t="s">
        <v>737</v>
      </c>
      <c r="CA34" s="12" t="s">
        <v>1095</v>
      </c>
      <c r="CB34" s="12" t="s">
        <v>112</v>
      </c>
      <c r="CC34" s="12">
        <f>10000*5.45</f>
        <v>54500</v>
      </c>
      <c r="CD34" s="12">
        <v>545000</v>
      </c>
      <c r="CE34" s="18">
        <v>17.75</v>
      </c>
      <c r="CF34" s="17">
        <v>11310</v>
      </c>
      <c r="CG34" s="18">
        <v>4.2</v>
      </c>
      <c r="CH34" s="19" t="s">
        <v>340</v>
      </c>
      <c r="CI34" s="12">
        <v>9000</v>
      </c>
      <c r="CJ34" s="18">
        <f>+CI54/9.5</f>
        <v>0</v>
      </c>
      <c r="CK34" s="18">
        <v>50</v>
      </c>
      <c r="CL34" s="18">
        <f>+CJ54/18</f>
        <v>0</v>
      </c>
      <c r="CM34" s="12">
        <v>1014</v>
      </c>
      <c r="CN34" s="12" t="s">
        <v>108</v>
      </c>
      <c r="CO34" s="19" t="s">
        <v>340</v>
      </c>
      <c r="CP34" s="12">
        <v>0</v>
      </c>
      <c r="CQ34" s="12">
        <v>0</v>
      </c>
      <c r="CR34" s="12">
        <v>0</v>
      </c>
      <c r="CS34" s="12">
        <v>0</v>
      </c>
      <c r="CT34" s="12">
        <v>0</v>
      </c>
      <c r="CU34" s="12" t="s">
        <v>331</v>
      </c>
      <c r="CV34" s="12" t="s">
        <v>607</v>
      </c>
      <c r="CW34" s="12">
        <v>9945501457</v>
      </c>
      <c r="CX34" s="12" t="s">
        <v>738</v>
      </c>
      <c r="CY34" s="12" t="s">
        <v>608</v>
      </c>
      <c r="CZ34" s="12">
        <f>1017-5</f>
        <v>1012</v>
      </c>
      <c r="DA34" s="12">
        <v>0</v>
      </c>
      <c r="DB34" s="12" t="s">
        <v>952</v>
      </c>
      <c r="DC34" s="12">
        <v>131</v>
      </c>
      <c r="DD34" s="12">
        <v>41</v>
      </c>
      <c r="DE34" s="12">
        <v>41000</v>
      </c>
      <c r="DF34" s="21" t="str">
        <f t="shared" si="24"/>
        <v>Photos\New\SRINAGAR.pptx</v>
      </c>
      <c r="DG34" s="21" t="str">
        <f t="shared" si="25"/>
        <v>Videos\New\SRINAGAR</v>
      </c>
      <c r="DH34" s="21" t="str">
        <f t="shared" si="26"/>
        <v>Manpower\SRINAGAR.pptx</v>
      </c>
    </row>
    <row r="35" spans="1:112" ht="15.75" customHeight="1" x14ac:dyDescent="0.35">
      <c r="A35" s="12" t="s">
        <v>265</v>
      </c>
      <c r="B35" s="12" t="s">
        <v>240</v>
      </c>
      <c r="C35" s="12">
        <v>0</v>
      </c>
      <c r="D35" s="12">
        <v>0</v>
      </c>
      <c r="E35" s="12" t="s">
        <v>577</v>
      </c>
      <c r="F35" s="12">
        <v>0</v>
      </c>
      <c r="G35" s="12">
        <v>0</v>
      </c>
      <c r="H35" s="28" t="s">
        <v>104</v>
      </c>
      <c r="I35" s="28">
        <v>5</v>
      </c>
      <c r="J35" s="28">
        <v>10</v>
      </c>
      <c r="K35" s="28">
        <v>9</v>
      </c>
      <c r="L35" s="12" t="s">
        <v>240</v>
      </c>
      <c r="M35" s="12" t="s">
        <v>739</v>
      </c>
      <c r="N35" s="12" t="s">
        <v>953</v>
      </c>
      <c r="O35" s="12" t="s">
        <v>712</v>
      </c>
      <c r="P35" s="12">
        <v>0</v>
      </c>
      <c r="Q35" s="12">
        <v>0</v>
      </c>
      <c r="R35" s="12">
        <v>0</v>
      </c>
      <c r="S35" s="12">
        <v>0</v>
      </c>
      <c r="T35" s="12">
        <v>0</v>
      </c>
      <c r="U35" s="12">
        <v>0</v>
      </c>
      <c r="V35" s="12">
        <v>0</v>
      </c>
      <c r="W35" s="12">
        <v>0</v>
      </c>
      <c r="X35" s="12">
        <v>0</v>
      </c>
      <c r="Y35" s="12">
        <v>0</v>
      </c>
      <c r="Z35" s="12">
        <v>0</v>
      </c>
      <c r="AA35" s="12">
        <v>0</v>
      </c>
      <c r="AB35" s="12">
        <v>0</v>
      </c>
      <c r="AC35" s="12">
        <v>0</v>
      </c>
      <c r="AD35" s="12">
        <v>0</v>
      </c>
      <c r="AE35" s="12">
        <v>0</v>
      </c>
      <c r="AF35" s="12" t="s">
        <v>1083</v>
      </c>
      <c r="AG35" s="12">
        <v>0</v>
      </c>
      <c r="AH35" s="12">
        <v>0</v>
      </c>
      <c r="AI35" s="12">
        <v>11.55</v>
      </c>
      <c r="AJ35" s="12">
        <v>0</v>
      </c>
      <c r="AK35" s="12">
        <v>0</v>
      </c>
      <c r="AL35" s="12">
        <f t="shared" si="20"/>
        <v>0</v>
      </c>
      <c r="AM35" s="55">
        <v>11687</v>
      </c>
      <c r="AN35" s="22">
        <v>4419</v>
      </c>
      <c r="AO35" s="22">
        <v>0</v>
      </c>
      <c r="AP35" s="22">
        <v>0</v>
      </c>
      <c r="AQ35" s="16">
        <v>17.25</v>
      </c>
      <c r="AR35" s="16">
        <v>1125</v>
      </c>
      <c r="AS35" s="12">
        <v>0</v>
      </c>
      <c r="AT35" s="12">
        <v>0</v>
      </c>
      <c r="AU35" s="12">
        <v>0</v>
      </c>
      <c r="AV35" s="12">
        <v>0</v>
      </c>
      <c r="AW35" s="12">
        <v>0</v>
      </c>
      <c r="AX35" s="12">
        <v>0</v>
      </c>
      <c r="AY35" s="12">
        <v>0</v>
      </c>
      <c r="AZ35" s="12">
        <v>0</v>
      </c>
      <c r="BA35" s="12">
        <v>0</v>
      </c>
      <c r="BB35" s="12">
        <v>0</v>
      </c>
      <c r="BC35" s="13">
        <f t="shared" si="21"/>
        <v>14979</v>
      </c>
      <c r="BD35" s="14">
        <f t="shared" si="21"/>
        <v>0</v>
      </c>
      <c r="BE35" s="13">
        <f t="shared" si="21"/>
        <v>1081</v>
      </c>
      <c r="BF35" s="22">
        <f t="shared" si="21"/>
        <v>0</v>
      </c>
      <c r="BG35" s="16">
        <f t="shared" si="22"/>
        <v>22.25</v>
      </c>
      <c r="BH35" s="16">
        <f t="shared" si="23"/>
        <v>1625</v>
      </c>
      <c r="BI35" s="12">
        <v>0</v>
      </c>
      <c r="BJ35" s="12">
        <v>0</v>
      </c>
      <c r="BK35" s="12">
        <v>0</v>
      </c>
      <c r="BL35" s="12">
        <v>0</v>
      </c>
      <c r="BM35" s="12">
        <v>0</v>
      </c>
      <c r="BN35" s="12">
        <v>0</v>
      </c>
      <c r="BO35" s="12">
        <v>0</v>
      </c>
      <c r="BP35" s="12">
        <v>0</v>
      </c>
      <c r="BQ35" s="18">
        <v>0</v>
      </c>
      <c r="BR35" s="12">
        <v>0</v>
      </c>
      <c r="BS35" s="15">
        <v>15</v>
      </c>
      <c r="BT35" s="17">
        <v>900</v>
      </c>
      <c r="BU35" s="12" t="s">
        <v>241</v>
      </c>
      <c r="BV35" s="12" t="s">
        <v>740</v>
      </c>
      <c r="BW35" s="12" t="s">
        <v>242</v>
      </c>
      <c r="BX35" s="12">
        <v>8018471995</v>
      </c>
      <c r="BY35" s="12" t="s">
        <v>954</v>
      </c>
      <c r="BZ35" s="12" t="s">
        <v>955</v>
      </c>
      <c r="CA35" s="12" t="s">
        <v>112</v>
      </c>
      <c r="CB35" s="12" t="s">
        <v>112</v>
      </c>
      <c r="CC35" s="12">
        <v>1000</v>
      </c>
      <c r="CD35" s="12">
        <v>1000</v>
      </c>
      <c r="CE35" s="18">
        <v>18</v>
      </c>
      <c r="CF35" s="17">
        <v>11320</v>
      </c>
      <c r="CG35" s="12">
        <v>4.3</v>
      </c>
      <c r="CH35" s="19" t="s">
        <v>340</v>
      </c>
      <c r="CI35" s="12">
        <v>11500</v>
      </c>
      <c r="CJ35" s="18">
        <f>+CI55/9.5</f>
        <v>0</v>
      </c>
      <c r="CK35" s="12">
        <v>50</v>
      </c>
      <c r="CL35" s="18">
        <f>+CJ55/18</f>
        <v>0</v>
      </c>
      <c r="CM35" s="12">
        <v>1009</v>
      </c>
      <c r="CN35" s="12" t="s">
        <v>108</v>
      </c>
      <c r="CO35" s="19" t="s">
        <v>340</v>
      </c>
      <c r="CP35" s="12">
        <v>0</v>
      </c>
      <c r="CQ35" s="12">
        <v>0</v>
      </c>
      <c r="CR35" s="12">
        <v>0</v>
      </c>
      <c r="CS35" s="12">
        <v>0</v>
      </c>
      <c r="CT35" s="12">
        <v>0</v>
      </c>
      <c r="CU35" s="12" t="s">
        <v>234</v>
      </c>
      <c r="CV35" s="12" t="s">
        <v>236</v>
      </c>
      <c r="CW35" s="12">
        <v>9811405985</v>
      </c>
      <c r="CX35" s="12" t="s">
        <v>741</v>
      </c>
      <c r="CY35" s="12" t="s">
        <v>239</v>
      </c>
      <c r="CZ35" s="12">
        <f>1019-5</f>
        <v>1014</v>
      </c>
      <c r="DA35" s="12">
        <v>0</v>
      </c>
      <c r="DB35" s="12" t="s">
        <v>956</v>
      </c>
      <c r="DC35" s="12">
        <v>132</v>
      </c>
      <c r="DD35" s="12">
        <v>42</v>
      </c>
      <c r="DE35" s="12">
        <v>42000</v>
      </c>
      <c r="DF35" s="21" t="str">
        <f t="shared" si="24"/>
        <v>Photos\New\JAMMU.pptx</v>
      </c>
      <c r="DG35" s="21" t="str">
        <f t="shared" si="25"/>
        <v>Videos\New\JAMMU</v>
      </c>
      <c r="DH35" s="21" t="str">
        <f t="shared" si="26"/>
        <v>Manpower\JAMMU.pptx</v>
      </c>
    </row>
    <row r="36" spans="1:112" ht="15.75" customHeight="1" x14ac:dyDescent="0.35">
      <c r="A36" s="12" t="s">
        <v>266</v>
      </c>
      <c r="B36" s="12" t="s">
        <v>240</v>
      </c>
      <c r="C36" s="12">
        <v>0</v>
      </c>
      <c r="D36" s="12">
        <v>0</v>
      </c>
      <c r="E36" s="12" t="s">
        <v>577</v>
      </c>
      <c r="F36" s="12">
        <v>0</v>
      </c>
      <c r="G36" s="12">
        <v>0</v>
      </c>
      <c r="H36" s="28" t="s">
        <v>104</v>
      </c>
      <c r="I36" s="28">
        <v>5</v>
      </c>
      <c r="J36" s="28">
        <v>10</v>
      </c>
      <c r="K36" s="28">
        <v>9</v>
      </c>
      <c r="L36" s="12" t="s">
        <v>240</v>
      </c>
      <c r="M36" s="12" t="s">
        <v>739</v>
      </c>
      <c r="N36" s="12" t="s">
        <v>953</v>
      </c>
      <c r="O36" s="12" t="s">
        <v>712</v>
      </c>
      <c r="P36" s="12">
        <v>0</v>
      </c>
      <c r="Q36" s="12">
        <v>0</v>
      </c>
      <c r="R36" s="12">
        <v>0</v>
      </c>
      <c r="S36" s="12">
        <v>0</v>
      </c>
      <c r="T36" s="12">
        <v>0</v>
      </c>
      <c r="U36" s="12">
        <v>0</v>
      </c>
      <c r="V36" s="12">
        <v>0</v>
      </c>
      <c r="W36" s="12">
        <v>0</v>
      </c>
      <c r="X36" s="12">
        <v>0</v>
      </c>
      <c r="Y36" s="12">
        <v>0</v>
      </c>
      <c r="Z36" s="12">
        <v>0</v>
      </c>
      <c r="AA36" s="12">
        <v>0</v>
      </c>
      <c r="AB36" s="12">
        <v>0</v>
      </c>
      <c r="AC36" s="12">
        <v>0</v>
      </c>
      <c r="AD36" s="12">
        <v>0</v>
      </c>
      <c r="AE36" s="12">
        <v>0</v>
      </c>
      <c r="AF36" s="12" t="s">
        <v>1083</v>
      </c>
      <c r="AG36" s="12">
        <v>0</v>
      </c>
      <c r="AH36" s="12">
        <v>0</v>
      </c>
      <c r="AI36" s="12">
        <v>11.55</v>
      </c>
      <c r="AJ36" s="12">
        <v>0</v>
      </c>
      <c r="AK36" s="12">
        <v>0</v>
      </c>
      <c r="AL36" s="12">
        <f t="shared" si="20"/>
        <v>0</v>
      </c>
      <c r="AM36" s="55">
        <v>18515</v>
      </c>
      <c r="AN36" s="22">
        <v>4419</v>
      </c>
      <c r="AO36" s="22">
        <v>1716</v>
      </c>
      <c r="AP36" s="22">
        <v>0</v>
      </c>
      <c r="AQ36" s="16">
        <v>17.5</v>
      </c>
      <c r="AR36" s="16">
        <v>1150</v>
      </c>
      <c r="AS36" s="12">
        <v>0</v>
      </c>
      <c r="AT36" s="12">
        <v>0</v>
      </c>
      <c r="AU36" s="12">
        <v>0</v>
      </c>
      <c r="AV36" s="12">
        <v>0</v>
      </c>
      <c r="AW36" s="12">
        <v>0</v>
      </c>
      <c r="AX36" s="12">
        <v>0</v>
      </c>
      <c r="AY36" s="12">
        <v>0</v>
      </c>
      <c r="AZ36" s="12">
        <v>0</v>
      </c>
      <c r="BA36" s="12">
        <v>0</v>
      </c>
      <c r="BB36" s="12">
        <v>0</v>
      </c>
      <c r="BC36" s="13">
        <f t="shared" si="21"/>
        <v>6400</v>
      </c>
      <c r="BD36" s="14">
        <f t="shared" si="21"/>
        <v>0</v>
      </c>
      <c r="BE36" s="13">
        <f t="shared" si="21"/>
        <v>0</v>
      </c>
      <c r="BF36" s="22">
        <f t="shared" si="21"/>
        <v>0</v>
      </c>
      <c r="BG36" s="16">
        <f t="shared" si="22"/>
        <v>22.5</v>
      </c>
      <c r="BH36" s="16">
        <f t="shared" si="23"/>
        <v>1650</v>
      </c>
      <c r="BI36" s="12">
        <v>0</v>
      </c>
      <c r="BJ36" s="12">
        <v>0</v>
      </c>
      <c r="BK36" s="12">
        <v>0</v>
      </c>
      <c r="BL36" s="12">
        <v>0</v>
      </c>
      <c r="BM36" s="12">
        <v>0</v>
      </c>
      <c r="BN36" s="12">
        <v>0</v>
      </c>
      <c r="BO36" s="12">
        <v>0</v>
      </c>
      <c r="BP36" s="12">
        <v>0</v>
      </c>
      <c r="BQ36" s="18">
        <v>0</v>
      </c>
      <c r="BR36" s="12">
        <v>0</v>
      </c>
      <c r="BS36" s="22">
        <v>15.25</v>
      </c>
      <c r="BT36" s="17">
        <v>925</v>
      </c>
      <c r="BU36" s="12" t="s">
        <v>241</v>
      </c>
      <c r="BV36" s="12" t="s">
        <v>740</v>
      </c>
      <c r="BW36" s="12" t="s">
        <v>242</v>
      </c>
      <c r="BX36" s="12">
        <v>8018471995</v>
      </c>
      <c r="BY36" s="12" t="s">
        <v>954</v>
      </c>
      <c r="BZ36" s="12" t="s">
        <v>955</v>
      </c>
      <c r="CA36" s="12" t="s">
        <v>112</v>
      </c>
      <c r="CB36" s="12" t="s">
        <v>112</v>
      </c>
      <c r="CC36" s="12">
        <v>1000</v>
      </c>
      <c r="CD36" s="12">
        <v>1000</v>
      </c>
      <c r="CE36" s="18">
        <v>18.25</v>
      </c>
      <c r="CF36" s="12">
        <v>11330</v>
      </c>
      <c r="CG36" s="18">
        <v>4.4000000000000004</v>
      </c>
      <c r="CH36" s="19" t="s">
        <v>340</v>
      </c>
      <c r="CI36" s="12">
        <v>50000</v>
      </c>
      <c r="CJ36" s="18">
        <f>+CI56/9.5</f>
        <v>0</v>
      </c>
      <c r="CK36" s="12">
        <v>55</v>
      </c>
      <c r="CL36" s="18">
        <f>+CJ56/18</f>
        <v>0</v>
      </c>
      <c r="CM36" s="12">
        <v>1009</v>
      </c>
      <c r="CN36" s="12" t="s">
        <v>108</v>
      </c>
      <c r="CO36" s="19" t="s">
        <v>340</v>
      </c>
      <c r="CP36" s="12">
        <v>0</v>
      </c>
      <c r="CQ36" s="12">
        <v>0</v>
      </c>
      <c r="CR36" s="12">
        <v>0</v>
      </c>
      <c r="CS36" s="12">
        <v>0</v>
      </c>
      <c r="CT36" s="12">
        <v>0</v>
      </c>
      <c r="CU36" s="12" t="s">
        <v>235</v>
      </c>
      <c r="CV36" s="12" t="s">
        <v>237</v>
      </c>
      <c r="CW36" s="12">
        <v>8975096700</v>
      </c>
      <c r="CX36" s="12" t="s">
        <v>957</v>
      </c>
      <c r="CY36" s="12" t="s">
        <v>238</v>
      </c>
      <c r="CZ36" s="12">
        <f>1019-1</f>
        <v>1018</v>
      </c>
      <c r="DA36" s="12">
        <v>0</v>
      </c>
      <c r="DB36" s="12" t="s">
        <v>956</v>
      </c>
      <c r="DC36" s="12">
        <v>133</v>
      </c>
      <c r="DD36" s="12">
        <v>43</v>
      </c>
      <c r="DE36" s="12">
        <v>43000</v>
      </c>
      <c r="DF36" s="21" t="str">
        <f t="shared" si="24"/>
        <v>Photos\New\CHANDIGARH.pptx</v>
      </c>
      <c r="DG36" s="21" t="str">
        <f t="shared" si="25"/>
        <v>Videos\New\CHANDIGARH</v>
      </c>
      <c r="DH36" s="21" t="str">
        <f t="shared" si="26"/>
        <v>Manpower\CHANDIGARH.pptx</v>
      </c>
    </row>
    <row r="37" spans="1:112" ht="15.75" customHeight="1" x14ac:dyDescent="0.35">
      <c r="A37" s="12" t="s">
        <v>271</v>
      </c>
      <c r="B37" s="12" t="s">
        <v>290</v>
      </c>
      <c r="C37" s="12">
        <v>0</v>
      </c>
      <c r="D37" s="12">
        <v>0</v>
      </c>
      <c r="E37" s="12" t="s">
        <v>958</v>
      </c>
      <c r="F37" s="12">
        <v>0</v>
      </c>
      <c r="G37" s="12">
        <v>0</v>
      </c>
      <c r="H37" s="28" t="s">
        <v>291</v>
      </c>
      <c r="I37" s="28">
        <v>1</v>
      </c>
      <c r="J37" s="28">
        <v>15</v>
      </c>
      <c r="K37" s="28">
        <v>1</v>
      </c>
      <c r="L37" s="12" t="s">
        <v>292</v>
      </c>
      <c r="M37" s="12">
        <v>9750888881</v>
      </c>
      <c r="N37" s="12" t="s">
        <v>959</v>
      </c>
      <c r="O37" s="12" t="s">
        <v>776</v>
      </c>
      <c r="P37" s="12">
        <v>0</v>
      </c>
      <c r="Q37" s="12">
        <v>0</v>
      </c>
      <c r="R37" s="12">
        <v>0</v>
      </c>
      <c r="S37" s="12">
        <v>0</v>
      </c>
      <c r="T37" s="12">
        <v>0</v>
      </c>
      <c r="U37" s="12">
        <v>0</v>
      </c>
      <c r="V37" s="12">
        <v>0</v>
      </c>
      <c r="W37" s="12">
        <v>0</v>
      </c>
      <c r="X37" s="12">
        <v>0</v>
      </c>
      <c r="Y37" s="12">
        <v>0</v>
      </c>
      <c r="Z37" s="12">
        <v>0</v>
      </c>
      <c r="AA37" s="12">
        <v>0</v>
      </c>
      <c r="AB37" s="12">
        <v>0</v>
      </c>
      <c r="AC37" s="12">
        <v>0</v>
      </c>
      <c r="AD37" s="12">
        <v>0</v>
      </c>
      <c r="AE37" s="12">
        <v>0</v>
      </c>
      <c r="AF37" s="12" t="s">
        <v>1083</v>
      </c>
      <c r="AG37" s="12">
        <v>0</v>
      </c>
      <c r="AH37" s="12">
        <v>0</v>
      </c>
      <c r="AI37" s="12">
        <v>1.51</v>
      </c>
      <c r="AJ37" s="12">
        <v>0</v>
      </c>
      <c r="AK37" s="12">
        <v>0</v>
      </c>
      <c r="AL37" s="12">
        <f t="shared" si="20"/>
        <v>15.8</v>
      </c>
      <c r="AM37" s="22">
        <v>5616</v>
      </c>
      <c r="AN37" s="22">
        <v>1100</v>
      </c>
      <c r="AO37" s="22">
        <v>116</v>
      </c>
      <c r="AP37" s="22">
        <v>0</v>
      </c>
      <c r="AQ37" s="16">
        <v>17.75</v>
      </c>
      <c r="AR37" s="16">
        <v>1175</v>
      </c>
      <c r="AS37" s="12">
        <v>0</v>
      </c>
      <c r="AT37" s="12">
        <v>0</v>
      </c>
      <c r="AU37" s="12">
        <v>0</v>
      </c>
      <c r="AV37" s="12">
        <v>0</v>
      </c>
      <c r="AW37" s="12">
        <v>0</v>
      </c>
      <c r="AX37" s="12">
        <v>0</v>
      </c>
      <c r="AY37" s="12">
        <v>0</v>
      </c>
      <c r="AZ37" s="12">
        <v>0</v>
      </c>
      <c r="BA37" s="12">
        <v>0</v>
      </c>
      <c r="BB37" s="12">
        <v>0</v>
      </c>
      <c r="BC37" s="13">
        <f t="shared" si="21"/>
        <v>10000</v>
      </c>
      <c r="BD37" s="13">
        <f t="shared" si="21"/>
        <v>0</v>
      </c>
      <c r="BE37" s="13">
        <f t="shared" si="21"/>
        <v>0</v>
      </c>
      <c r="BF37" s="22">
        <f t="shared" si="21"/>
        <v>0</v>
      </c>
      <c r="BG37" s="16">
        <f t="shared" si="22"/>
        <v>22.75</v>
      </c>
      <c r="BH37" s="16">
        <f t="shared" si="23"/>
        <v>1675</v>
      </c>
      <c r="BI37" s="12">
        <v>0</v>
      </c>
      <c r="BJ37" s="12">
        <v>0</v>
      </c>
      <c r="BK37" s="12">
        <v>0</v>
      </c>
      <c r="BL37" s="12">
        <v>0</v>
      </c>
      <c r="BM37" s="12">
        <v>0</v>
      </c>
      <c r="BN37" s="12">
        <v>0</v>
      </c>
      <c r="BO37" s="12">
        <v>0</v>
      </c>
      <c r="BP37" s="12">
        <v>0</v>
      </c>
      <c r="BQ37" s="18">
        <v>0</v>
      </c>
      <c r="BR37" s="12">
        <v>0</v>
      </c>
      <c r="BS37" s="22">
        <v>15.5</v>
      </c>
      <c r="BT37" s="17">
        <v>950</v>
      </c>
      <c r="BU37" s="12" t="s">
        <v>293</v>
      </c>
      <c r="BV37" s="12" t="s">
        <v>960</v>
      </c>
      <c r="BW37" s="12" t="s">
        <v>294</v>
      </c>
      <c r="BX37" s="12">
        <v>9849999616</v>
      </c>
      <c r="BY37" s="12" t="s">
        <v>961</v>
      </c>
      <c r="BZ37" s="12" t="s">
        <v>868</v>
      </c>
      <c r="CA37" s="12" t="s">
        <v>1099</v>
      </c>
      <c r="CB37" s="12">
        <v>4.71</v>
      </c>
      <c r="CC37" s="12">
        <v>45000</v>
      </c>
      <c r="CD37" s="12">
        <v>45000</v>
      </c>
      <c r="CE37" s="18">
        <v>18.5</v>
      </c>
      <c r="CF37" s="17">
        <v>11340</v>
      </c>
      <c r="CG37" s="18">
        <v>4.5</v>
      </c>
      <c r="CH37" s="19" t="s">
        <v>340</v>
      </c>
      <c r="CI37" s="12">
        <v>10000</v>
      </c>
      <c r="CJ37" s="18">
        <f>+CI57/9.5</f>
        <v>0</v>
      </c>
      <c r="CK37" s="18" t="s">
        <v>142</v>
      </c>
      <c r="CL37" s="18">
        <f>+CJ57/18</f>
        <v>0</v>
      </c>
      <c r="CM37" s="12">
        <v>1014</v>
      </c>
      <c r="CN37" s="12" t="s">
        <v>108</v>
      </c>
      <c r="CO37" s="19" t="s">
        <v>340</v>
      </c>
      <c r="CP37" s="12">
        <v>0</v>
      </c>
      <c r="CQ37" s="12">
        <v>0</v>
      </c>
      <c r="CR37" s="12">
        <v>0</v>
      </c>
      <c r="CS37" s="12">
        <v>0</v>
      </c>
      <c r="CT37" s="12">
        <v>0</v>
      </c>
      <c r="CU37" s="12" t="s">
        <v>287</v>
      </c>
      <c r="CV37" s="12" t="s">
        <v>288</v>
      </c>
      <c r="CW37" s="12">
        <v>9415160066</v>
      </c>
      <c r="CX37" s="12" t="s">
        <v>962</v>
      </c>
      <c r="CY37" s="12" t="s">
        <v>289</v>
      </c>
      <c r="CZ37" s="12">
        <f>1017-5</f>
        <v>1012</v>
      </c>
      <c r="DA37" s="12">
        <v>0</v>
      </c>
      <c r="DB37" s="12" t="s">
        <v>862</v>
      </c>
      <c r="DC37" s="12">
        <v>134</v>
      </c>
      <c r="DD37" s="12">
        <v>44</v>
      </c>
      <c r="DE37" s="12">
        <v>44000</v>
      </c>
      <c r="DF37" s="21" t="str">
        <f t="shared" si="24"/>
        <v>Photos\New\LUDHIANA.pptx</v>
      </c>
      <c r="DG37" s="21" t="str">
        <f t="shared" si="25"/>
        <v>Videos\New\LUDHIANA</v>
      </c>
      <c r="DH37" s="21" t="str">
        <f t="shared" si="26"/>
        <v>Manpower\LUDHIANA.pptx</v>
      </c>
    </row>
    <row r="38" spans="1:112" ht="15.75" customHeight="1" x14ac:dyDescent="0.35">
      <c r="A38" s="12" t="s">
        <v>310</v>
      </c>
      <c r="B38" s="12" t="s">
        <v>299</v>
      </c>
      <c r="C38" s="12">
        <v>0</v>
      </c>
      <c r="D38" s="12">
        <v>0</v>
      </c>
      <c r="E38" s="12" t="s">
        <v>963</v>
      </c>
      <c r="F38" s="12">
        <v>0</v>
      </c>
      <c r="G38" s="12">
        <v>0</v>
      </c>
      <c r="H38" s="28" t="s">
        <v>300</v>
      </c>
      <c r="I38" s="28">
        <v>5</v>
      </c>
      <c r="J38" s="28">
        <v>15</v>
      </c>
      <c r="K38" s="28">
        <v>4</v>
      </c>
      <c r="L38" s="12" t="s">
        <v>301</v>
      </c>
      <c r="M38" s="12">
        <v>9857055561</v>
      </c>
      <c r="N38" s="12" t="s">
        <v>964</v>
      </c>
      <c r="O38" s="12" t="s">
        <v>742</v>
      </c>
      <c r="P38" s="12">
        <v>0</v>
      </c>
      <c r="Q38" s="12">
        <v>0</v>
      </c>
      <c r="R38" s="12">
        <v>0</v>
      </c>
      <c r="S38" s="12">
        <v>0</v>
      </c>
      <c r="T38" s="12">
        <v>0</v>
      </c>
      <c r="U38" s="12">
        <v>0</v>
      </c>
      <c r="V38" s="12">
        <v>0</v>
      </c>
      <c r="W38" s="12">
        <v>0</v>
      </c>
      <c r="X38" s="12">
        <v>0</v>
      </c>
      <c r="Y38" s="12">
        <v>0</v>
      </c>
      <c r="Z38" s="12">
        <v>0</v>
      </c>
      <c r="AA38" s="12">
        <v>0</v>
      </c>
      <c r="AB38" s="12">
        <v>0</v>
      </c>
      <c r="AC38" s="12">
        <v>0</v>
      </c>
      <c r="AD38" s="12">
        <v>0</v>
      </c>
      <c r="AE38" s="12">
        <v>0</v>
      </c>
      <c r="AF38" s="12" t="s">
        <v>1083</v>
      </c>
      <c r="AG38" s="12">
        <v>0</v>
      </c>
      <c r="AH38" s="12">
        <v>0</v>
      </c>
      <c r="AI38" s="12">
        <v>1.04</v>
      </c>
      <c r="AJ38" s="12">
        <v>0</v>
      </c>
      <c r="AK38" s="12">
        <v>0</v>
      </c>
      <c r="AL38" s="12">
        <f t="shared" si="20"/>
        <v>0</v>
      </c>
      <c r="AM38" s="22">
        <v>9150</v>
      </c>
      <c r="AN38" s="22">
        <v>5000</v>
      </c>
      <c r="AO38" s="22">
        <v>1000</v>
      </c>
      <c r="AP38" s="22">
        <v>0</v>
      </c>
      <c r="AQ38" s="16">
        <v>18</v>
      </c>
      <c r="AR38" s="16">
        <v>1200</v>
      </c>
      <c r="AS38" s="12">
        <v>0</v>
      </c>
      <c r="AT38" s="12">
        <v>0</v>
      </c>
      <c r="AU38" s="12">
        <v>0</v>
      </c>
      <c r="AV38" s="12">
        <v>0</v>
      </c>
      <c r="AW38" s="12">
        <v>0</v>
      </c>
      <c r="AX38" s="12">
        <v>0</v>
      </c>
      <c r="AY38" s="12">
        <v>0</v>
      </c>
      <c r="AZ38" s="12">
        <v>0</v>
      </c>
      <c r="BA38" s="12">
        <v>0</v>
      </c>
      <c r="BB38" s="12">
        <v>0</v>
      </c>
      <c r="BC38" s="13">
        <f t="shared" si="21"/>
        <v>4500</v>
      </c>
      <c r="BD38" s="13">
        <f t="shared" si="21"/>
        <v>0</v>
      </c>
      <c r="BE38" s="13">
        <f t="shared" si="21"/>
        <v>0</v>
      </c>
      <c r="BF38" s="22">
        <f t="shared" si="21"/>
        <v>0</v>
      </c>
      <c r="BG38" s="16">
        <f t="shared" si="22"/>
        <v>23</v>
      </c>
      <c r="BH38" s="16">
        <f t="shared" si="23"/>
        <v>1700</v>
      </c>
      <c r="BI38" s="12" t="s">
        <v>299</v>
      </c>
      <c r="BJ38" s="12" t="s">
        <v>963</v>
      </c>
      <c r="BK38" s="12" t="s">
        <v>301</v>
      </c>
      <c r="BL38" s="12">
        <v>9857055561</v>
      </c>
      <c r="BM38" s="12" t="s">
        <v>964</v>
      </c>
      <c r="BN38" s="12" t="s">
        <v>742</v>
      </c>
      <c r="BO38" s="12" t="s">
        <v>1085</v>
      </c>
      <c r="BP38" s="12">
        <v>1.1499999999999999</v>
      </c>
      <c r="BQ38" s="51">
        <v>1500</v>
      </c>
      <c r="BR38" s="22">
        <v>1500</v>
      </c>
      <c r="BS38" s="22">
        <v>15.75</v>
      </c>
      <c r="BT38" s="17">
        <v>975</v>
      </c>
      <c r="BU38" s="12" t="s">
        <v>299</v>
      </c>
      <c r="BV38" s="12" t="s">
        <v>963</v>
      </c>
      <c r="BW38" s="12" t="s">
        <v>301</v>
      </c>
      <c r="BX38" s="12">
        <v>9857055561</v>
      </c>
      <c r="BY38" s="12" t="s">
        <v>864</v>
      </c>
      <c r="BZ38" s="12" t="s">
        <v>699</v>
      </c>
      <c r="CA38" s="12" t="s">
        <v>1096</v>
      </c>
      <c r="CB38" s="12">
        <v>1.88</v>
      </c>
      <c r="CC38" s="12">
        <f>1796*5.45</f>
        <v>9788.2000000000007</v>
      </c>
      <c r="CD38" s="12">
        <v>1796</v>
      </c>
      <c r="CE38" s="18">
        <v>18.75</v>
      </c>
      <c r="CF38" s="17">
        <v>11350</v>
      </c>
      <c r="CG38" s="12">
        <v>4.5999999999999996</v>
      </c>
      <c r="CH38" s="19" t="s">
        <v>340</v>
      </c>
      <c r="CI38" s="12">
        <v>0</v>
      </c>
      <c r="CJ38" s="12">
        <v>0</v>
      </c>
      <c r="CK38" s="12" t="s">
        <v>142</v>
      </c>
      <c r="CL38" s="12">
        <v>0</v>
      </c>
      <c r="CM38" s="12" t="s">
        <v>142</v>
      </c>
      <c r="CN38" s="12" t="s">
        <v>142</v>
      </c>
      <c r="CO38" s="19" t="s">
        <v>340</v>
      </c>
      <c r="CP38" s="12">
        <v>0</v>
      </c>
      <c r="CQ38" s="12">
        <v>0</v>
      </c>
      <c r="CR38" s="12">
        <v>0</v>
      </c>
      <c r="CS38" s="12">
        <v>0</v>
      </c>
      <c r="CT38" s="12">
        <v>0</v>
      </c>
      <c r="CU38" s="12" t="s">
        <v>296</v>
      </c>
      <c r="CV38" s="12" t="s">
        <v>297</v>
      </c>
      <c r="CW38" s="12">
        <v>8447105915</v>
      </c>
      <c r="CX38" s="12" t="s">
        <v>965</v>
      </c>
      <c r="CY38" s="12" t="s">
        <v>298</v>
      </c>
      <c r="CZ38" s="12">
        <v>1015</v>
      </c>
      <c r="DA38" s="12">
        <v>0</v>
      </c>
      <c r="DB38" s="12" t="s">
        <v>966</v>
      </c>
      <c r="DC38" s="12">
        <v>135</v>
      </c>
      <c r="DD38" s="12">
        <v>45</v>
      </c>
      <c r="DE38" s="12">
        <v>45000</v>
      </c>
      <c r="DF38" s="21" t="str">
        <f t="shared" si="24"/>
        <v>Photos\New\DEHRADUN.pptx</v>
      </c>
      <c r="DG38" s="21" t="str">
        <f t="shared" si="25"/>
        <v>Videos\New\DEHRADUN</v>
      </c>
      <c r="DH38" s="21" t="str">
        <f t="shared" si="26"/>
        <v>Manpower\DEHRADUN.pptx</v>
      </c>
    </row>
    <row r="39" spans="1:112" ht="15.75" customHeight="1" x14ac:dyDescent="0.35">
      <c r="A39" s="12" t="s">
        <v>313</v>
      </c>
      <c r="B39" s="12" t="s">
        <v>314</v>
      </c>
      <c r="C39" s="12">
        <v>0</v>
      </c>
      <c r="D39" s="12">
        <v>0</v>
      </c>
      <c r="E39" s="12" t="s">
        <v>743</v>
      </c>
      <c r="F39" s="12">
        <v>0</v>
      </c>
      <c r="G39" s="12">
        <v>0</v>
      </c>
      <c r="H39" s="28" t="s">
        <v>104</v>
      </c>
      <c r="I39" s="28">
        <v>5.5</v>
      </c>
      <c r="J39" s="28">
        <v>11</v>
      </c>
      <c r="K39" s="28">
        <v>1</v>
      </c>
      <c r="L39" s="12" t="s">
        <v>315</v>
      </c>
      <c r="M39" s="12">
        <v>9859011509</v>
      </c>
      <c r="N39" s="12" t="s">
        <v>967</v>
      </c>
      <c r="O39" s="12" t="s">
        <v>719</v>
      </c>
      <c r="P39" s="12">
        <v>0</v>
      </c>
      <c r="Q39" s="12">
        <v>0</v>
      </c>
      <c r="R39" s="12">
        <v>0</v>
      </c>
      <c r="S39" s="12">
        <v>0</v>
      </c>
      <c r="T39" s="12">
        <v>0</v>
      </c>
      <c r="U39" s="12">
        <v>0</v>
      </c>
      <c r="V39" s="12">
        <v>0</v>
      </c>
      <c r="W39" s="12">
        <v>0</v>
      </c>
      <c r="X39" s="12">
        <v>0</v>
      </c>
      <c r="Y39" s="12">
        <v>0</v>
      </c>
      <c r="Z39" s="12">
        <v>0</v>
      </c>
      <c r="AA39" s="12">
        <v>0</v>
      </c>
      <c r="AB39" s="12">
        <v>0</v>
      </c>
      <c r="AC39" s="12">
        <v>0</v>
      </c>
      <c r="AD39" s="12">
        <v>0</v>
      </c>
      <c r="AE39" s="12">
        <v>0</v>
      </c>
      <c r="AF39" s="12" t="s">
        <v>1084</v>
      </c>
      <c r="AG39" s="12">
        <v>0</v>
      </c>
      <c r="AH39" s="12">
        <v>0</v>
      </c>
      <c r="AI39" s="12">
        <v>0</v>
      </c>
      <c r="AJ39" s="12">
        <v>0</v>
      </c>
      <c r="AK39" s="12">
        <v>0</v>
      </c>
      <c r="AL39" s="12">
        <f t="shared" ref="AL39:AL68" si="27">SUM(AI39:AK39)</f>
        <v>0</v>
      </c>
      <c r="AM39" s="22">
        <v>11000</v>
      </c>
      <c r="AN39" s="22">
        <v>1000</v>
      </c>
      <c r="AO39" s="22">
        <v>0</v>
      </c>
      <c r="AP39" s="22">
        <v>0</v>
      </c>
      <c r="AQ39" s="16">
        <v>18.25</v>
      </c>
      <c r="AR39" s="16">
        <v>1225</v>
      </c>
      <c r="AS39" s="12">
        <v>0</v>
      </c>
      <c r="AT39" s="12">
        <v>0</v>
      </c>
      <c r="AU39" s="12">
        <v>0</v>
      </c>
      <c r="AV39" s="12">
        <v>0</v>
      </c>
      <c r="AW39" s="12">
        <v>0</v>
      </c>
      <c r="AX39" s="12">
        <v>0</v>
      </c>
      <c r="AY39" s="12">
        <v>0</v>
      </c>
      <c r="AZ39" s="12">
        <v>0</v>
      </c>
      <c r="BA39" s="12">
        <v>0</v>
      </c>
      <c r="BB39" s="12">
        <v>0</v>
      </c>
      <c r="BC39" s="13">
        <f t="shared" si="7"/>
        <v>11000</v>
      </c>
      <c r="BD39" s="13">
        <f t="shared" si="10"/>
        <v>1000</v>
      </c>
      <c r="BE39" s="13">
        <f t="shared" si="8"/>
        <v>0</v>
      </c>
      <c r="BF39" s="22">
        <f t="shared" si="9"/>
        <v>0</v>
      </c>
      <c r="BG39" s="16">
        <f t="shared" ref="BG39:BG68" si="28">(AS39*AW39+AX39*BB39+AQ39*AM39)/BC39</f>
        <v>18.25</v>
      </c>
      <c r="BH39" s="16">
        <f t="shared" ref="BH39:BH60" si="29">+AR39</f>
        <v>1225</v>
      </c>
      <c r="BI39" s="59">
        <v>0</v>
      </c>
      <c r="BJ39" s="12">
        <v>0</v>
      </c>
      <c r="BK39" s="12">
        <v>0</v>
      </c>
      <c r="BL39" s="12">
        <v>0</v>
      </c>
      <c r="BM39" s="12">
        <v>0</v>
      </c>
      <c r="BN39" s="12">
        <v>0</v>
      </c>
      <c r="BO39" s="12">
        <v>0</v>
      </c>
      <c r="BP39" s="12">
        <v>0</v>
      </c>
      <c r="BQ39" s="51">
        <v>0</v>
      </c>
      <c r="BR39" s="22">
        <v>0</v>
      </c>
      <c r="BS39" s="15">
        <v>16</v>
      </c>
      <c r="BT39" s="17">
        <v>1000</v>
      </c>
      <c r="BU39" s="12" t="s">
        <v>316</v>
      </c>
      <c r="BV39" s="12" t="s">
        <v>744</v>
      </c>
      <c r="BW39" s="12" t="s">
        <v>317</v>
      </c>
      <c r="BX39" s="12" t="s">
        <v>968</v>
      </c>
      <c r="BY39" s="12" t="s">
        <v>881</v>
      </c>
      <c r="BZ39" s="12" t="s">
        <v>708</v>
      </c>
      <c r="CA39" s="12" t="s">
        <v>1100</v>
      </c>
      <c r="CB39" s="12">
        <v>0</v>
      </c>
      <c r="CC39" s="17">
        <f>1900/5.45</f>
        <v>348.62385321100919</v>
      </c>
      <c r="CD39" s="17">
        <f>CC39</f>
        <v>348.62385321100919</v>
      </c>
      <c r="CE39" s="18">
        <v>19</v>
      </c>
      <c r="CF39" s="17">
        <v>11360</v>
      </c>
      <c r="CG39" s="18">
        <v>4.7</v>
      </c>
      <c r="CH39" s="19" t="s">
        <v>340</v>
      </c>
      <c r="CI39" s="12">
        <v>15000</v>
      </c>
      <c r="CJ39" s="18">
        <f>+CI39/9.5</f>
        <v>1578.9473684210527</v>
      </c>
      <c r="CK39" s="18" t="s">
        <v>142</v>
      </c>
      <c r="CL39" s="18">
        <f>+CJ39/18</f>
        <v>87.719298245614041</v>
      </c>
      <c r="CM39" s="12">
        <v>1015</v>
      </c>
      <c r="CN39" s="12" t="s">
        <v>108</v>
      </c>
      <c r="CO39" s="19" t="s">
        <v>340</v>
      </c>
      <c r="CP39" s="12">
        <v>0</v>
      </c>
      <c r="CQ39" s="12">
        <v>0</v>
      </c>
      <c r="CR39" s="12">
        <v>0</v>
      </c>
      <c r="CS39" s="12">
        <v>0</v>
      </c>
      <c r="CT39" s="12">
        <v>0</v>
      </c>
      <c r="CU39" s="12" t="s">
        <v>407</v>
      </c>
      <c r="CV39" s="12" t="s">
        <v>408</v>
      </c>
      <c r="CW39" s="12">
        <v>9859011509</v>
      </c>
      <c r="CX39" s="12" t="s">
        <v>745</v>
      </c>
      <c r="CY39" s="12" t="s">
        <v>409</v>
      </c>
      <c r="CZ39" s="12">
        <v>1015</v>
      </c>
      <c r="DA39" s="12">
        <v>0</v>
      </c>
      <c r="DB39" s="12" t="s">
        <v>969</v>
      </c>
      <c r="DC39" s="12">
        <v>136</v>
      </c>
      <c r="DD39" s="12">
        <v>46</v>
      </c>
      <c r="DE39" s="12">
        <v>46000</v>
      </c>
      <c r="DF39" s="21" t="str">
        <f t="shared" ref="DF39:DF58" si="30">"Photos\New\"&amp;$A39&amp;".pptx"</f>
        <v>Photos\New\LUCKNOW.pptx</v>
      </c>
      <c r="DG39" s="21" t="str">
        <f t="shared" ref="DG39:DG58" si="31">"Videos\New\"&amp;$A39</f>
        <v>Videos\New\LUCKNOW</v>
      </c>
      <c r="DH39" s="21" t="str">
        <f t="shared" ref="DH39:DH64" si="32">"Manpower\"&amp;$A39&amp;".pptx"</f>
        <v>Manpower\LUCKNOW.pptx</v>
      </c>
    </row>
    <row r="40" spans="1:112" ht="15.75" customHeight="1" x14ac:dyDescent="0.35">
      <c r="A40" s="12" t="s">
        <v>318</v>
      </c>
      <c r="B40" s="12" t="s">
        <v>319</v>
      </c>
      <c r="C40" s="12" t="s">
        <v>322</v>
      </c>
      <c r="D40" s="12">
        <v>0</v>
      </c>
      <c r="E40" s="12" t="s">
        <v>320</v>
      </c>
      <c r="F40" s="12" t="s">
        <v>323</v>
      </c>
      <c r="G40" s="12">
        <v>0</v>
      </c>
      <c r="H40" s="28" t="s">
        <v>321</v>
      </c>
      <c r="I40" s="28">
        <v>5</v>
      </c>
      <c r="J40" s="28">
        <v>18</v>
      </c>
      <c r="K40" s="28">
        <v>1</v>
      </c>
      <c r="L40" s="12" t="s">
        <v>625</v>
      </c>
      <c r="M40" s="12" t="s">
        <v>970</v>
      </c>
      <c r="N40" s="12" t="s">
        <v>971</v>
      </c>
      <c r="O40" s="12" t="s">
        <v>746</v>
      </c>
      <c r="P40" s="28" t="s">
        <v>324</v>
      </c>
      <c r="Q40" s="28">
        <v>5</v>
      </c>
      <c r="R40" s="28">
        <v>14</v>
      </c>
      <c r="S40" s="28">
        <v>6</v>
      </c>
      <c r="T40" s="12" t="s">
        <v>326</v>
      </c>
      <c r="U40" s="12">
        <v>9855417571</v>
      </c>
      <c r="V40" s="12" t="s">
        <v>972</v>
      </c>
      <c r="W40" s="12" t="s">
        <v>733</v>
      </c>
      <c r="X40" s="28">
        <v>0</v>
      </c>
      <c r="Y40" s="28">
        <v>0</v>
      </c>
      <c r="Z40" s="28">
        <v>0</v>
      </c>
      <c r="AA40" s="28">
        <v>0</v>
      </c>
      <c r="AB40" s="28">
        <v>0</v>
      </c>
      <c r="AC40" s="28">
        <v>0</v>
      </c>
      <c r="AD40" s="28">
        <v>0</v>
      </c>
      <c r="AE40" s="28">
        <v>0</v>
      </c>
      <c r="AF40" s="12" t="s">
        <v>1083</v>
      </c>
      <c r="AG40" s="12" t="s">
        <v>1083</v>
      </c>
      <c r="AH40" s="28">
        <v>0</v>
      </c>
      <c r="AI40" s="12">
        <v>0</v>
      </c>
      <c r="AJ40" s="12">
        <v>7.5</v>
      </c>
      <c r="AK40" s="12">
        <v>0</v>
      </c>
      <c r="AL40" s="12">
        <f t="shared" si="27"/>
        <v>7.5</v>
      </c>
      <c r="AM40" s="22">
        <v>10759</v>
      </c>
      <c r="AN40" s="22">
        <v>1579</v>
      </c>
      <c r="AO40" s="22">
        <v>1500</v>
      </c>
      <c r="AP40" s="22">
        <v>0</v>
      </c>
      <c r="AQ40" s="16">
        <v>18.5</v>
      </c>
      <c r="AR40" s="16">
        <v>1250</v>
      </c>
      <c r="AS40" s="22">
        <v>10000</v>
      </c>
      <c r="AT40" s="22">
        <v>1579</v>
      </c>
      <c r="AU40" s="22">
        <v>1500</v>
      </c>
      <c r="AV40" s="22">
        <v>0</v>
      </c>
      <c r="AW40" s="16">
        <v>14.47</v>
      </c>
      <c r="AX40" s="22">
        <v>0</v>
      </c>
      <c r="AY40" s="22">
        <v>0</v>
      </c>
      <c r="AZ40" s="22">
        <v>0</v>
      </c>
      <c r="BA40" s="22">
        <v>0</v>
      </c>
      <c r="BB40" s="16">
        <v>0</v>
      </c>
      <c r="BC40" s="25">
        <f t="shared" si="7"/>
        <v>20759</v>
      </c>
      <c r="BD40" s="26">
        <f t="shared" si="10"/>
        <v>3158</v>
      </c>
      <c r="BE40" s="25">
        <f t="shared" si="8"/>
        <v>3000</v>
      </c>
      <c r="BF40" s="25">
        <f t="shared" si="9"/>
        <v>0</v>
      </c>
      <c r="BG40" s="16">
        <f t="shared" si="28"/>
        <v>16.558673346500314</v>
      </c>
      <c r="BH40" s="16">
        <f t="shared" si="29"/>
        <v>1250</v>
      </c>
      <c r="BI40" s="12" t="s">
        <v>325</v>
      </c>
      <c r="BJ40" s="12" t="s">
        <v>323</v>
      </c>
      <c r="BK40" s="12" t="s">
        <v>326</v>
      </c>
      <c r="BL40" s="12">
        <v>9855417571</v>
      </c>
      <c r="BM40" s="12" t="s">
        <v>972</v>
      </c>
      <c r="BN40" s="12" t="s">
        <v>733</v>
      </c>
      <c r="BO40" s="12" t="s">
        <v>1085</v>
      </c>
      <c r="BP40" s="12" t="s">
        <v>112</v>
      </c>
      <c r="BQ40" s="51">
        <v>1000</v>
      </c>
      <c r="BR40" s="22">
        <v>1000</v>
      </c>
      <c r="BS40" s="22">
        <v>16.25</v>
      </c>
      <c r="BT40" s="17">
        <v>1025</v>
      </c>
      <c r="BU40" s="12" t="s">
        <v>325</v>
      </c>
      <c r="BV40" s="12" t="s">
        <v>747</v>
      </c>
      <c r="BW40" s="12" t="s">
        <v>326</v>
      </c>
      <c r="BX40" s="12">
        <v>9855417571</v>
      </c>
      <c r="BY40" s="12" t="s">
        <v>973</v>
      </c>
      <c r="BZ40" s="12" t="s">
        <v>681</v>
      </c>
      <c r="CA40" s="12" t="s">
        <v>1096</v>
      </c>
      <c r="CB40" s="12" t="s">
        <v>112</v>
      </c>
      <c r="CC40" s="17">
        <f>18000/5.45</f>
        <v>3302.7522935779816</v>
      </c>
      <c r="CD40" s="17">
        <f>CC40</f>
        <v>3302.7522935779816</v>
      </c>
      <c r="CE40" s="18">
        <v>19.25</v>
      </c>
      <c r="CF40" s="12">
        <v>11370</v>
      </c>
      <c r="CG40" s="18">
        <v>4.7999999999999901</v>
      </c>
      <c r="CH40" s="19" t="s">
        <v>340</v>
      </c>
      <c r="CI40" s="12">
        <v>0</v>
      </c>
      <c r="CJ40" s="12">
        <v>0</v>
      </c>
      <c r="CK40" s="12" t="s">
        <v>142</v>
      </c>
      <c r="CL40" s="12">
        <v>0</v>
      </c>
      <c r="CM40" s="12" t="s">
        <v>142</v>
      </c>
      <c r="CN40" s="12" t="s">
        <v>142</v>
      </c>
      <c r="CO40" s="19" t="s">
        <v>340</v>
      </c>
      <c r="CP40" s="12">
        <v>0</v>
      </c>
      <c r="CQ40" s="12">
        <v>0</v>
      </c>
      <c r="CR40" s="12">
        <v>0</v>
      </c>
      <c r="CS40" s="12">
        <v>0</v>
      </c>
      <c r="CT40" s="12">
        <v>0</v>
      </c>
      <c r="CU40" s="12" t="s">
        <v>585</v>
      </c>
      <c r="CV40" s="12" t="s">
        <v>586</v>
      </c>
      <c r="CW40" s="12">
        <v>9855019115</v>
      </c>
      <c r="CX40" s="12" t="s">
        <v>587</v>
      </c>
      <c r="CY40" s="12" t="s">
        <v>588</v>
      </c>
      <c r="CZ40" s="12">
        <v>1016</v>
      </c>
      <c r="DA40" s="12">
        <v>0</v>
      </c>
      <c r="DB40" s="12" t="s">
        <v>974</v>
      </c>
      <c r="DC40" s="12">
        <v>137</v>
      </c>
      <c r="DD40" s="12">
        <v>47</v>
      </c>
      <c r="DE40" s="12">
        <v>47000</v>
      </c>
      <c r="DF40" s="21" t="str">
        <f t="shared" si="30"/>
        <v>Photos\New\PATNA.pptx</v>
      </c>
      <c r="DG40" s="21" t="str">
        <f t="shared" si="31"/>
        <v>Videos\New\PATNA</v>
      </c>
      <c r="DH40" s="21" t="str">
        <f t="shared" si="32"/>
        <v>Manpower\PATNA.pptx</v>
      </c>
    </row>
    <row r="41" spans="1:112" ht="15.75" customHeight="1" x14ac:dyDescent="0.35">
      <c r="A41" s="12" t="s">
        <v>339</v>
      </c>
      <c r="B41" s="12" t="s">
        <v>333</v>
      </c>
      <c r="C41" s="12">
        <v>0</v>
      </c>
      <c r="D41" s="12">
        <v>0</v>
      </c>
      <c r="E41" s="12" t="s">
        <v>975</v>
      </c>
      <c r="F41" s="12">
        <v>0</v>
      </c>
      <c r="G41" s="12">
        <v>0</v>
      </c>
      <c r="H41" s="28" t="s">
        <v>334</v>
      </c>
      <c r="I41" s="28">
        <v>5</v>
      </c>
      <c r="J41" s="28">
        <v>14</v>
      </c>
      <c r="K41" s="28">
        <v>5</v>
      </c>
      <c r="L41" s="12" t="s">
        <v>333</v>
      </c>
      <c r="M41" s="12">
        <v>8795000015</v>
      </c>
      <c r="N41" s="12" t="s">
        <v>976</v>
      </c>
      <c r="O41" s="12" t="s">
        <v>748</v>
      </c>
      <c r="P41" s="12">
        <v>0</v>
      </c>
      <c r="Q41" s="12">
        <v>0</v>
      </c>
      <c r="R41" s="12">
        <v>0</v>
      </c>
      <c r="S41" s="12">
        <v>0</v>
      </c>
      <c r="T41" s="12">
        <v>0</v>
      </c>
      <c r="U41" s="12">
        <v>0</v>
      </c>
      <c r="V41" s="12">
        <v>0</v>
      </c>
      <c r="W41" s="12">
        <v>0</v>
      </c>
      <c r="X41" s="12">
        <v>0</v>
      </c>
      <c r="Y41" s="12">
        <v>0</v>
      </c>
      <c r="Z41" s="12">
        <v>0</v>
      </c>
      <c r="AA41" s="12">
        <v>0</v>
      </c>
      <c r="AB41" s="12">
        <v>0</v>
      </c>
      <c r="AC41" s="12">
        <v>0</v>
      </c>
      <c r="AD41" s="12">
        <v>0</v>
      </c>
      <c r="AE41" s="12">
        <v>0</v>
      </c>
      <c r="AF41" s="12" t="s">
        <v>1083</v>
      </c>
      <c r="AG41" s="12">
        <v>0</v>
      </c>
      <c r="AH41" s="12">
        <v>0</v>
      </c>
      <c r="AI41" s="12">
        <v>5.5</v>
      </c>
      <c r="AJ41" s="12">
        <v>0</v>
      </c>
      <c r="AK41" s="12">
        <v>0</v>
      </c>
      <c r="AL41" s="12">
        <f>SUM(AI40:AK40)</f>
        <v>7.5</v>
      </c>
      <c r="AM41" s="22">
        <v>15000</v>
      </c>
      <c r="AN41" s="22">
        <f>1500+1100</f>
        <v>2600</v>
      </c>
      <c r="AO41" s="22">
        <v>0</v>
      </c>
      <c r="AP41" s="22">
        <v>0</v>
      </c>
      <c r="AQ41" s="16">
        <v>18.75</v>
      </c>
      <c r="AR41" s="16">
        <v>1275</v>
      </c>
      <c r="AS41" s="12">
        <v>0</v>
      </c>
      <c r="AT41" s="12">
        <v>0</v>
      </c>
      <c r="AU41" s="12">
        <v>0</v>
      </c>
      <c r="AV41" s="12">
        <v>0</v>
      </c>
      <c r="AW41" s="12">
        <v>0</v>
      </c>
      <c r="AX41" s="12">
        <v>0</v>
      </c>
      <c r="AY41" s="12">
        <v>0</v>
      </c>
      <c r="AZ41" s="12">
        <v>0</v>
      </c>
      <c r="BA41" s="12">
        <v>0</v>
      </c>
      <c r="BB41" s="12">
        <v>0</v>
      </c>
      <c r="BC41" s="13">
        <f>SUM(AM40,AS40,AX40)</f>
        <v>20759</v>
      </c>
      <c r="BD41" s="13">
        <f>SUM(AN40,AT40,AY40)</f>
        <v>3158</v>
      </c>
      <c r="BE41" s="13">
        <f>SUM(AO40,AU40,AZ40)</f>
        <v>3000</v>
      </c>
      <c r="BF41" s="22">
        <f>SUM(AP40,AV40,BA40)</f>
        <v>0</v>
      </c>
      <c r="BG41" s="16">
        <f>(AS40*AW40+AX40*BB40+AQ40*AM40)/BC40</f>
        <v>16.558673346500314</v>
      </c>
      <c r="BH41" s="16">
        <f>+AR40</f>
        <v>1250</v>
      </c>
      <c r="BI41" s="12" t="s">
        <v>336</v>
      </c>
      <c r="BJ41" s="12" t="s">
        <v>975</v>
      </c>
      <c r="BK41" s="12" t="s">
        <v>335</v>
      </c>
      <c r="BL41" s="12">
        <v>8955056590</v>
      </c>
      <c r="BM41" s="12" t="s">
        <v>976</v>
      </c>
      <c r="BN41" s="12" t="s">
        <v>748</v>
      </c>
      <c r="BO41" s="12" t="s">
        <v>1085</v>
      </c>
      <c r="BP41" s="12">
        <v>0</v>
      </c>
      <c r="BQ41" s="51">
        <v>1500</v>
      </c>
      <c r="BR41" s="22">
        <v>1500</v>
      </c>
      <c r="BS41" s="22">
        <v>16.5</v>
      </c>
      <c r="BT41" s="17">
        <v>1050</v>
      </c>
      <c r="BU41" s="12" t="s">
        <v>336</v>
      </c>
      <c r="BV41" s="12" t="s">
        <v>975</v>
      </c>
      <c r="BW41" s="12" t="s">
        <v>335</v>
      </c>
      <c r="BX41" s="12">
        <v>8955056590</v>
      </c>
      <c r="BY41" s="12" t="s">
        <v>976</v>
      </c>
      <c r="BZ41" s="12" t="s">
        <v>748</v>
      </c>
      <c r="CA41" s="12" t="s">
        <v>1096</v>
      </c>
      <c r="CB41" s="12">
        <v>0</v>
      </c>
      <c r="CC41" s="17">
        <f>10000/5.45</f>
        <v>1834.8623853211009</v>
      </c>
      <c r="CD41" s="17">
        <f>CC40</f>
        <v>3302.7522935779816</v>
      </c>
      <c r="CE41" s="18">
        <v>19.5</v>
      </c>
      <c r="CF41" s="17">
        <v>11380</v>
      </c>
      <c r="CG41" s="12">
        <v>4.8999999999999897</v>
      </c>
      <c r="CH41" s="19" t="s">
        <v>340</v>
      </c>
      <c r="CI41" s="12">
        <v>0</v>
      </c>
      <c r="CJ41" s="12">
        <v>0</v>
      </c>
      <c r="CK41" s="12" t="s">
        <v>142</v>
      </c>
      <c r="CL41" s="12">
        <v>0</v>
      </c>
      <c r="CM41" s="12" t="s">
        <v>142</v>
      </c>
      <c r="CN41" s="12" t="s">
        <v>142</v>
      </c>
      <c r="CO41" s="19" t="s">
        <v>340</v>
      </c>
      <c r="CP41" s="12">
        <v>0</v>
      </c>
      <c r="CQ41" s="12">
        <v>0</v>
      </c>
      <c r="CR41" s="12">
        <v>0</v>
      </c>
      <c r="CS41" s="12">
        <v>0</v>
      </c>
      <c r="CT41" s="12">
        <v>0</v>
      </c>
      <c r="CU41" s="12" t="s">
        <v>336</v>
      </c>
      <c r="CV41" s="12" t="s">
        <v>335</v>
      </c>
      <c r="CW41" s="12">
        <v>9451158811</v>
      </c>
      <c r="CX41" s="12" t="s">
        <v>977</v>
      </c>
      <c r="CY41" s="12" t="s">
        <v>338</v>
      </c>
      <c r="CZ41" s="12">
        <v>1018</v>
      </c>
      <c r="DA41" s="12">
        <v>0</v>
      </c>
      <c r="DB41" s="12" t="s">
        <v>978</v>
      </c>
      <c r="DC41" s="12">
        <v>138</v>
      </c>
      <c r="DD41" s="12">
        <v>48</v>
      </c>
      <c r="DE41" s="12">
        <v>48000</v>
      </c>
      <c r="DF41" s="21" t="str">
        <f>"Photos\New\"&amp;$A40&amp;".pptx"</f>
        <v>Photos\New\PATNA.pptx</v>
      </c>
      <c r="DG41" s="21" t="str">
        <f>"Videos\New\"&amp;$A40</f>
        <v>Videos\New\PATNA</v>
      </c>
      <c r="DH41" s="21" t="str">
        <f>"Manpower\"&amp;$A40&amp;".pptx"</f>
        <v>Manpower\PATNA.pptx</v>
      </c>
    </row>
    <row r="42" spans="1:112" ht="15.75" customHeight="1" x14ac:dyDescent="0.35">
      <c r="A42" s="12" t="s">
        <v>341</v>
      </c>
      <c r="B42" s="12" t="s">
        <v>351</v>
      </c>
      <c r="C42" s="12">
        <v>0</v>
      </c>
      <c r="D42" s="12">
        <v>0</v>
      </c>
      <c r="E42" s="12" t="s">
        <v>352</v>
      </c>
      <c r="F42" s="12">
        <v>0</v>
      </c>
      <c r="G42" s="12">
        <v>0</v>
      </c>
      <c r="H42" s="28" t="s">
        <v>353</v>
      </c>
      <c r="I42" s="28">
        <v>1.5</v>
      </c>
      <c r="J42" s="28">
        <v>17</v>
      </c>
      <c r="K42" s="28">
        <v>8</v>
      </c>
      <c r="L42" s="12" t="s">
        <v>354</v>
      </c>
      <c r="M42" s="12" t="s">
        <v>979</v>
      </c>
      <c r="N42" s="12" t="s">
        <v>980</v>
      </c>
      <c r="O42" s="12" t="s">
        <v>727</v>
      </c>
      <c r="P42" s="12">
        <v>0</v>
      </c>
      <c r="Q42" s="12">
        <v>0</v>
      </c>
      <c r="R42" s="12">
        <v>0</v>
      </c>
      <c r="S42" s="12">
        <v>0</v>
      </c>
      <c r="T42" s="12">
        <v>0</v>
      </c>
      <c r="U42" s="12">
        <v>0</v>
      </c>
      <c r="V42" s="12">
        <v>0</v>
      </c>
      <c r="W42" s="12">
        <v>0</v>
      </c>
      <c r="X42" s="12">
        <v>0</v>
      </c>
      <c r="Y42" s="12">
        <v>0</v>
      </c>
      <c r="Z42" s="12">
        <v>0</v>
      </c>
      <c r="AA42" s="12">
        <v>0</v>
      </c>
      <c r="AB42" s="12">
        <v>0</v>
      </c>
      <c r="AC42" s="12">
        <v>0</v>
      </c>
      <c r="AD42" s="12">
        <v>0</v>
      </c>
      <c r="AE42" s="12">
        <v>0</v>
      </c>
      <c r="AF42" s="12" t="s">
        <v>1083</v>
      </c>
      <c r="AG42" s="12">
        <v>0</v>
      </c>
      <c r="AH42" s="12">
        <v>0</v>
      </c>
      <c r="AI42" s="12">
        <v>10.16</v>
      </c>
      <c r="AJ42" s="12">
        <v>0</v>
      </c>
      <c r="AK42" s="12">
        <v>0</v>
      </c>
      <c r="AL42" s="12">
        <f>SUM(AI44:AK44)</f>
        <v>8.81</v>
      </c>
      <c r="AM42" s="22">
        <v>51000</v>
      </c>
      <c r="AN42" s="22">
        <v>4500</v>
      </c>
      <c r="AO42" s="22">
        <v>0</v>
      </c>
      <c r="AP42" s="22">
        <v>0</v>
      </c>
      <c r="AQ42" s="16">
        <v>19</v>
      </c>
      <c r="AR42" s="16">
        <v>1300</v>
      </c>
      <c r="AS42" s="12">
        <v>0</v>
      </c>
      <c r="AT42" s="12">
        <v>0</v>
      </c>
      <c r="AU42" s="12">
        <v>0</v>
      </c>
      <c r="AV42" s="12">
        <v>0</v>
      </c>
      <c r="AW42" s="12">
        <v>0</v>
      </c>
      <c r="AX42" s="12">
        <v>0</v>
      </c>
      <c r="AY42" s="12">
        <v>0</v>
      </c>
      <c r="AZ42" s="12">
        <v>0</v>
      </c>
      <c r="BA42" s="12">
        <v>0</v>
      </c>
      <c r="BB42" s="12">
        <v>0</v>
      </c>
      <c r="BC42" s="13">
        <f>SUM(AM44,AS44,AX44)</f>
        <v>18000</v>
      </c>
      <c r="BD42" s="14">
        <f>SUM(AN44,AT44,AY44)</f>
        <v>632.25</v>
      </c>
      <c r="BE42" s="13">
        <f>SUM(AO44,AU44,AZ44)</f>
        <v>0</v>
      </c>
      <c r="BF42" s="22">
        <f>SUM(AP44,AV44,BA44)</f>
        <v>0</v>
      </c>
      <c r="BG42" s="16">
        <f>(AS44*AW44+AX44*BB44+AQ44*AM44)/BC44</f>
        <v>19.5</v>
      </c>
      <c r="BH42" s="16">
        <f>+AR44</f>
        <v>1350</v>
      </c>
      <c r="BI42" s="12">
        <v>0</v>
      </c>
      <c r="BJ42" s="12">
        <v>0</v>
      </c>
      <c r="BK42" s="12">
        <v>0</v>
      </c>
      <c r="BL42" s="12">
        <v>0</v>
      </c>
      <c r="BM42" s="12">
        <v>0</v>
      </c>
      <c r="BN42" s="12">
        <v>0</v>
      </c>
      <c r="BO42" s="12">
        <v>0</v>
      </c>
      <c r="BP42" s="12">
        <v>0</v>
      </c>
      <c r="BQ42" s="18">
        <v>0</v>
      </c>
      <c r="BR42" s="12">
        <v>0</v>
      </c>
      <c r="BS42" s="22">
        <v>16.75</v>
      </c>
      <c r="BT42" s="17">
        <v>1075</v>
      </c>
      <c r="BU42" s="12">
        <v>0</v>
      </c>
      <c r="BV42" s="12">
        <v>0</v>
      </c>
      <c r="BW42" s="12">
        <v>0</v>
      </c>
      <c r="BX42" s="12">
        <v>0</v>
      </c>
      <c r="BY42" s="12">
        <v>0</v>
      </c>
      <c r="BZ42" s="12">
        <v>0</v>
      </c>
      <c r="CA42" s="12">
        <v>0</v>
      </c>
      <c r="CB42" s="12">
        <v>0</v>
      </c>
      <c r="CC42" s="17">
        <v>0</v>
      </c>
      <c r="CD42" s="12">
        <v>0</v>
      </c>
      <c r="CE42" s="18">
        <v>19.75</v>
      </c>
      <c r="CF42" s="17">
        <v>11390</v>
      </c>
      <c r="CG42" s="18">
        <v>5</v>
      </c>
      <c r="CH42" s="19" t="s">
        <v>340</v>
      </c>
      <c r="CI42" s="12">
        <v>50000</v>
      </c>
      <c r="CJ42" s="18">
        <f>+CI44/9.5</f>
        <v>532.42105263157896</v>
      </c>
      <c r="CK42" s="18">
        <f>11.44/45000*50000</f>
        <v>12.71111111111111</v>
      </c>
      <c r="CL42" s="18">
        <f>+CJ44/18</f>
        <v>29.578947368421055</v>
      </c>
      <c r="CM42" s="12">
        <v>1008</v>
      </c>
      <c r="CN42" s="12" t="s">
        <v>108</v>
      </c>
      <c r="CO42" s="19" t="s">
        <v>340</v>
      </c>
      <c r="CP42" s="12">
        <v>15000</v>
      </c>
      <c r="CQ42" s="20">
        <f>+CP44/5.5*16</f>
        <v>43636.36363636364</v>
      </c>
      <c r="CR42" s="18">
        <f>11.44/45000*15000</f>
        <v>3.813333333333333</v>
      </c>
      <c r="CS42" s="12" t="s">
        <v>142</v>
      </c>
      <c r="CT42" s="12" t="s">
        <v>108</v>
      </c>
      <c r="CU42" s="12" t="s">
        <v>349</v>
      </c>
      <c r="CV42" s="12" t="s">
        <v>350</v>
      </c>
      <c r="CW42" s="12">
        <v>9551141640</v>
      </c>
      <c r="CX42" s="12" t="s">
        <v>981</v>
      </c>
      <c r="CY42" s="12" t="s">
        <v>142</v>
      </c>
      <c r="CZ42" s="12">
        <f>1017-55</f>
        <v>962</v>
      </c>
      <c r="DA42" s="12" t="s">
        <v>340</v>
      </c>
      <c r="DB42" s="12" t="s">
        <v>842</v>
      </c>
      <c r="DC42" s="12">
        <v>139</v>
      </c>
      <c r="DD42" s="12">
        <v>49</v>
      </c>
      <c r="DE42" s="12">
        <v>49000</v>
      </c>
      <c r="DF42" s="21" t="str">
        <f>"Photos\New\"&amp;$A44&amp;".pptx"</f>
        <v>Photos\New\DURGAPUR.pptx</v>
      </c>
      <c r="DG42" s="21" t="str">
        <f>"Videos\New\"&amp;$A44</f>
        <v>Videos\New\DURGAPUR</v>
      </c>
      <c r="DH42" s="21" t="str">
        <f>"Manpower\"&amp;$A44&amp;".pptx"</f>
        <v>Manpower\DURGAPUR.pptx</v>
      </c>
    </row>
    <row r="43" spans="1:112" ht="15.75" customHeight="1" x14ac:dyDescent="0.35">
      <c r="A43" s="33" t="s">
        <v>342</v>
      </c>
      <c r="B43" s="12" t="s">
        <v>654</v>
      </c>
      <c r="C43" s="12">
        <v>0</v>
      </c>
      <c r="D43" s="12">
        <v>0</v>
      </c>
      <c r="E43" s="12" t="s">
        <v>982</v>
      </c>
      <c r="F43" s="12">
        <v>0</v>
      </c>
      <c r="G43" s="12">
        <v>0</v>
      </c>
      <c r="H43" s="28" t="s">
        <v>291</v>
      </c>
      <c r="I43" s="28">
        <v>5</v>
      </c>
      <c r="J43" s="28">
        <v>15</v>
      </c>
      <c r="K43" s="28">
        <v>4</v>
      </c>
      <c r="L43" s="12" t="s">
        <v>624</v>
      </c>
      <c r="M43" s="12">
        <v>9457055877</v>
      </c>
      <c r="N43" s="12" t="s">
        <v>983</v>
      </c>
      <c r="O43" s="12" t="s">
        <v>767</v>
      </c>
      <c r="P43" s="12">
        <v>0</v>
      </c>
      <c r="Q43" s="12">
        <v>0</v>
      </c>
      <c r="R43" s="12">
        <v>0</v>
      </c>
      <c r="S43" s="12">
        <v>0</v>
      </c>
      <c r="T43" s="12">
        <v>0</v>
      </c>
      <c r="U43" s="12">
        <v>0</v>
      </c>
      <c r="V43" s="12">
        <v>0</v>
      </c>
      <c r="W43" s="12">
        <v>0</v>
      </c>
      <c r="X43" s="12">
        <v>0</v>
      </c>
      <c r="Y43" s="12">
        <v>0</v>
      </c>
      <c r="Z43" s="12">
        <v>0</v>
      </c>
      <c r="AA43" s="12">
        <v>0</v>
      </c>
      <c r="AB43" s="12">
        <v>0</v>
      </c>
      <c r="AC43" s="12">
        <v>0</v>
      </c>
      <c r="AD43" s="12">
        <v>0</v>
      </c>
      <c r="AE43" s="12">
        <v>0</v>
      </c>
      <c r="AF43" s="12">
        <v>0</v>
      </c>
      <c r="AG43" s="12">
        <v>0</v>
      </c>
      <c r="AH43" s="12">
        <v>0</v>
      </c>
      <c r="AI43" s="12">
        <v>0</v>
      </c>
      <c r="AJ43" s="12">
        <v>0</v>
      </c>
      <c r="AK43" s="12">
        <v>0</v>
      </c>
      <c r="AL43" s="12">
        <f t="shared" si="27"/>
        <v>0</v>
      </c>
      <c r="AM43" s="22">
        <f>19564-7000</f>
        <v>12564</v>
      </c>
      <c r="AN43" s="22">
        <f>451/1</f>
        <v>451</v>
      </c>
      <c r="AO43" s="22">
        <v>0</v>
      </c>
      <c r="AP43" s="22">
        <v>0</v>
      </c>
      <c r="AQ43" s="16">
        <v>19.25</v>
      </c>
      <c r="AR43" s="16">
        <v>1325</v>
      </c>
      <c r="AS43" s="12">
        <v>0</v>
      </c>
      <c r="AT43" s="12">
        <v>0</v>
      </c>
      <c r="AU43" s="12">
        <v>0</v>
      </c>
      <c r="AV43" s="12">
        <v>0</v>
      </c>
      <c r="AW43" s="12">
        <v>0</v>
      </c>
      <c r="AX43" s="12">
        <v>0</v>
      </c>
      <c r="AY43" s="12">
        <v>0</v>
      </c>
      <c r="AZ43" s="12">
        <v>0</v>
      </c>
      <c r="BA43" s="12">
        <v>0</v>
      </c>
      <c r="BB43" s="12">
        <v>0</v>
      </c>
      <c r="BC43" s="13">
        <f t="shared" ref="BC43:BC68" si="33">SUM(AM43,AS43,AX43)</f>
        <v>12564</v>
      </c>
      <c r="BD43" s="13">
        <f t="shared" ref="BD43:BD68" si="34">SUM(AN43,AT43,AY43)</f>
        <v>451</v>
      </c>
      <c r="BE43" s="13">
        <f t="shared" ref="BE43:BE68" si="35">SUM(AO43,AU43,AZ43)</f>
        <v>0</v>
      </c>
      <c r="BF43" s="22">
        <f t="shared" ref="BF43:BF68" si="36">SUM(AP43,AV43,BA43)</f>
        <v>0</v>
      </c>
      <c r="BG43" s="16">
        <f t="shared" si="28"/>
        <v>19.25</v>
      </c>
      <c r="BH43" s="16">
        <f t="shared" si="29"/>
        <v>1325</v>
      </c>
      <c r="BI43" s="12">
        <v>0</v>
      </c>
      <c r="BJ43" s="12">
        <v>0</v>
      </c>
      <c r="BK43" s="12">
        <v>0</v>
      </c>
      <c r="BL43" s="12">
        <v>0</v>
      </c>
      <c r="BM43" s="12">
        <v>0</v>
      </c>
      <c r="BN43" s="12">
        <v>0</v>
      </c>
      <c r="BO43" s="12">
        <v>0</v>
      </c>
      <c r="BP43" s="12">
        <v>0</v>
      </c>
      <c r="BQ43" s="51">
        <v>0</v>
      </c>
      <c r="BR43" s="22">
        <v>0</v>
      </c>
      <c r="BS43" s="15">
        <v>17</v>
      </c>
      <c r="BT43" s="17">
        <v>1100</v>
      </c>
      <c r="BU43" s="22">
        <v>0</v>
      </c>
      <c r="BV43" s="22">
        <v>0</v>
      </c>
      <c r="BW43" s="22">
        <v>0</v>
      </c>
      <c r="BX43" s="22">
        <v>0</v>
      </c>
      <c r="BY43" s="22">
        <v>0</v>
      </c>
      <c r="BZ43" s="22">
        <v>0</v>
      </c>
      <c r="CA43" s="22">
        <v>0</v>
      </c>
      <c r="CB43" s="22">
        <v>0</v>
      </c>
      <c r="CC43" s="22">
        <v>0</v>
      </c>
      <c r="CD43" s="22">
        <v>0</v>
      </c>
      <c r="CE43" s="18">
        <v>20</v>
      </c>
      <c r="CF43" s="17">
        <v>11400</v>
      </c>
      <c r="CG43" s="18">
        <v>5.0999999999999899</v>
      </c>
      <c r="CH43" s="19" t="s">
        <v>340</v>
      </c>
      <c r="CI43" s="12">
        <f>451*9.5</f>
        <v>4284.5</v>
      </c>
      <c r="CJ43" s="18">
        <f t="shared" ref="CJ43:CJ47" si="37">+CI43/9.5</f>
        <v>451</v>
      </c>
      <c r="CK43" s="12" t="s">
        <v>142</v>
      </c>
      <c r="CL43" s="18">
        <f t="shared" ref="CL43:CL47" si="38">+CJ43/18</f>
        <v>25.055555555555557</v>
      </c>
      <c r="CM43" s="12" t="s">
        <v>142</v>
      </c>
      <c r="CN43" s="12" t="s">
        <v>142</v>
      </c>
      <c r="CO43" s="19" t="s">
        <v>340</v>
      </c>
      <c r="CP43" s="12">
        <v>11051</v>
      </c>
      <c r="CQ43" s="20">
        <f>+CP43/5.5*16</f>
        <v>32148.363636363636</v>
      </c>
      <c r="CR43" s="12">
        <v>0</v>
      </c>
      <c r="CS43" s="12">
        <v>0</v>
      </c>
      <c r="CT43" s="12">
        <v>0</v>
      </c>
      <c r="CU43" s="12" t="s">
        <v>381</v>
      </c>
      <c r="CV43" s="12" t="s">
        <v>382</v>
      </c>
      <c r="CW43" s="12">
        <v>9776568777</v>
      </c>
      <c r="CX43" s="12" t="s">
        <v>984</v>
      </c>
      <c r="CY43" s="12">
        <v>0</v>
      </c>
      <c r="CZ43" s="12">
        <f>1017-54</f>
        <v>963</v>
      </c>
      <c r="DA43" s="12">
        <v>0</v>
      </c>
      <c r="DB43" s="12" t="s">
        <v>842</v>
      </c>
      <c r="DC43" s="12">
        <v>140</v>
      </c>
      <c r="DD43" s="12">
        <v>50</v>
      </c>
      <c r="DE43" s="12">
        <v>50000</v>
      </c>
      <c r="DF43" s="21" t="str">
        <f t="shared" si="30"/>
        <v>Photos\New\CUTTACK.pptx</v>
      </c>
      <c r="DG43" s="21" t="str">
        <f t="shared" si="31"/>
        <v>Videos\New\CUTTACK</v>
      </c>
      <c r="DH43" s="21" t="str">
        <f t="shared" si="32"/>
        <v>Manpower\CUTTACK.pptx</v>
      </c>
    </row>
    <row r="44" spans="1:112" ht="15.75" customHeight="1" x14ac:dyDescent="0.35">
      <c r="A44" s="12" t="s">
        <v>343</v>
      </c>
      <c r="B44" s="12" t="s">
        <v>386</v>
      </c>
      <c r="C44" s="12">
        <v>0</v>
      </c>
      <c r="D44" s="12">
        <v>0</v>
      </c>
      <c r="E44" s="12" t="s">
        <v>387</v>
      </c>
      <c r="F44" s="12">
        <v>0</v>
      </c>
      <c r="G44" s="12">
        <v>0</v>
      </c>
      <c r="H44" s="28" t="s">
        <v>291</v>
      </c>
      <c r="I44" s="28">
        <v>4</v>
      </c>
      <c r="J44" s="28">
        <v>40</v>
      </c>
      <c r="K44" s="28">
        <v>8</v>
      </c>
      <c r="L44" s="12" t="s">
        <v>385</v>
      </c>
      <c r="M44" s="12">
        <v>9454050465</v>
      </c>
      <c r="N44" s="12" t="s">
        <v>886</v>
      </c>
      <c r="O44" s="12" t="s">
        <v>710</v>
      </c>
      <c r="P44" s="12">
        <v>0</v>
      </c>
      <c r="Q44" s="12">
        <v>0</v>
      </c>
      <c r="R44" s="12">
        <v>0</v>
      </c>
      <c r="S44" s="12">
        <v>0</v>
      </c>
      <c r="T44" s="12">
        <v>0</v>
      </c>
      <c r="U44" s="12">
        <v>0</v>
      </c>
      <c r="V44" s="12">
        <v>0</v>
      </c>
      <c r="W44" s="12">
        <v>0</v>
      </c>
      <c r="X44" s="12">
        <v>0</v>
      </c>
      <c r="Y44" s="12">
        <v>0</v>
      </c>
      <c r="Z44" s="12">
        <v>0</v>
      </c>
      <c r="AA44" s="12">
        <v>0</v>
      </c>
      <c r="AB44" s="12">
        <v>0</v>
      </c>
      <c r="AC44" s="12">
        <v>0</v>
      </c>
      <c r="AD44" s="12">
        <v>0</v>
      </c>
      <c r="AE44" s="12">
        <v>0</v>
      </c>
      <c r="AF44" s="12" t="s">
        <v>1083</v>
      </c>
      <c r="AG44" s="12">
        <v>0</v>
      </c>
      <c r="AH44" s="12">
        <v>0</v>
      </c>
      <c r="AI44" s="12">
        <v>8.81</v>
      </c>
      <c r="AJ44" s="12">
        <v>0</v>
      </c>
      <c r="AK44" s="12">
        <v>0</v>
      </c>
      <c r="AL44" s="12">
        <f t="shared" si="27"/>
        <v>8.81</v>
      </c>
      <c r="AM44" s="22">
        <v>18000</v>
      </c>
      <c r="AN44" s="55">
        <f>5058/8</f>
        <v>632.25</v>
      </c>
      <c r="AO44" s="22">
        <v>0</v>
      </c>
      <c r="AP44" s="22">
        <v>0</v>
      </c>
      <c r="AQ44" s="16">
        <v>19.5</v>
      </c>
      <c r="AR44" s="16">
        <v>1350</v>
      </c>
      <c r="AS44" s="12">
        <v>0</v>
      </c>
      <c r="AT44" s="12">
        <v>0</v>
      </c>
      <c r="AU44" s="12">
        <v>0</v>
      </c>
      <c r="AV44" s="12">
        <v>0</v>
      </c>
      <c r="AW44" s="12">
        <v>0</v>
      </c>
      <c r="AX44" s="12">
        <v>0</v>
      </c>
      <c r="AY44" s="12">
        <v>0</v>
      </c>
      <c r="AZ44" s="12">
        <v>0</v>
      </c>
      <c r="BA44" s="12">
        <v>0</v>
      </c>
      <c r="BB44" s="12">
        <v>0</v>
      </c>
      <c r="BC44" s="13">
        <f t="shared" si="33"/>
        <v>18000</v>
      </c>
      <c r="BD44" s="13">
        <f t="shared" si="34"/>
        <v>632.25</v>
      </c>
      <c r="BE44" s="13">
        <f t="shared" si="35"/>
        <v>0</v>
      </c>
      <c r="BF44" s="22">
        <f t="shared" si="36"/>
        <v>0</v>
      </c>
      <c r="BG44" s="16">
        <f t="shared" si="28"/>
        <v>19.5</v>
      </c>
      <c r="BH44" s="16">
        <f t="shared" si="29"/>
        <v>1350</v>
      </c>
      <c r="BI44" s="12">
        <v>0</v>
      </c>
      <c r="BJ44" s="12">
        <v>0</v>
      </c>
      <c r="BK44" s="12">
        <v>0</v>
      </c>
      <c r="BL44" s="12">
        <v>0</v>
      </c>
      <c r="BM44" s="12">
        <v>0</v>
      </c>
      <c r="BN44" s="12">
        <v>0</v>
      </c>
      <c r="BO44" s="12">
        <v>0</v>
      </c>
      <c r="BP44" s="12">
        <v>0</v>
      </c>
      <c r="BQ44" s="18">
        <v>0</v>
      </c>
      <c r="BR44" s="12">
        <v>0</v>
      </c>
      <c r="BS44" s="22">
        <v>17.25</v>
      </c>
      <c r="BT44" s="17">
        <v>1125</v>
      </c>
      <c r="BU44" s="12">
        <v>0</v>
      </c>
      <c r="BV44" s="12">
        <v>0</v>
      </c>
      <c r="BW44" s="12">
        <v>0</v>
      </c>
      <c r="BX44" s="12">
        <v>0</v>
      </c>
      <c r="BY44" s="12">
        <v>0</v>
      </c>
      <c r="BZ44" s="12">
        <v>0</v>
      </c>
      <c r="CA44" s="12">
        <v>0</v>
      </c>
      <c r="CB44" s="12">
        <v>0</v>
      </c>
      <c r="CC44" s="17">
        <v>0</v>
      </c>
      <c r="CD44" s="12">
        <v>0</v>
      </c>
      <c r="CE44" s="18">
        <v>20.25</v>
      </c>
      <c r="CF44" s="12">
        <v>11410</v>
      </c>
      <c r="CG44" s="12">
        <v>5.1999999999999904</v>
      </c>
      <c r="CH44" s="19" t="s">
        <v>340</v>
      </c>
      <c r="CI44" s="12">
        <v>5058</v>
      </c>
      <c r="CJ44" s="18">
        <f t="shared" si="37"/>
        <v>532.42105263157896</v>
      </c>
      <c r="CK44" s="18">
        <v>1.57</v>
      </c>
      <c r="CL44" s="18">
        <f t="shared" si="38"/>
        <v>29.578947368421055</v>
      </c>
      <c r="CM44" s="12">
        <v>1005</v>
      </c>
      <c r="CN44" s="12" t="s">
        <v>108</v>
      </c>
      <c r="CO44" s="19" t="s">
        <v>340</v>
      </c>
      <c r="CP44" s="12">
        <v>15000</v>
      </c>
      <c r="CQ44" s="20">
        <f>+CP44/5.5*16</f>
        <v>43636.36363636364</v>
      </c>
      <c r="CR44" s="12" t="s">
        <v>142</v>
      </c>
      <c r="CS44" s="12">
        <v>1017</v>
      </c>
      <c r="CT44" s="12" t="s">
        <v>108</v>
      </c>
      <c r="CU44" s="12" t="s">
        <v>383</v>
      </c>
      <c r="CV44" s="12" t="s">
        <v>384</v>
      </c>
      <c r="CW44" s="12">
        <v>8145556555</v>
      </c>
      <c r="CX44" s="12" t="s">
        <v>985</v>
      </c>
      <c r="CY44" s="12" t="s">
        <v>142</v>
      </c>
      <c r="CZ44" s="12">
        <f>1017-16</f>
        <v>1001</v>
      </c>
      <c r="DA44" s="12" t="s">
        <v>340</v>
      </c>
      <c r="DB44" s="12" t="s">
        <v>952</v>
      </c>
      <c r="DC44" s="12">
        <v>141</v>
      </c>
      <c r="DD44" s="12">
        <v>51</v>
      </c>
      <c r="DE44" s="12">
        <v>51000</v>
      </c>
      <c r="DF44" s="21" t="str">
        <f t="shared" si="30"/>
        <v>Photos\New\DURGAPUR.pptx</v>
      </c>
      <c r="DG44" s="21" t="str">
        <f t="shared" si="31"/>
        <v>Videos\New\DURGAPUR</v>
      </c>
      <c r="DH44" s="21" t="str">
        <f t="shared" si="32"/>
        <v>Manpower\DURGAPUR.pptx</v>
      </c>
    </row>
    <row r="45" spans="1:112" ht="15.75" customHeight="1" x14ac:dyDescent="0.35">
      <c r="A45" s="12" t="s">
        <v>344</v>
      </c>
      <c r="B45" s="12" t="s">
        <v>391</v>
      </c>
      <c r="C45" s="12" t="s">
        <v>392</v>
      </c>
      <c r="D45" s="12" t="s">
        <v>393</v>
      </c>
      <c r="E45" s="12" t="s">
        <v>986</v>
      </c>
      <c r="F45" s="12" t="s">
        <v>986</v>
      </c>
      <c r="G45" s="12" t="s">
        <v>986</v>
      </c>
      <c r="H45" s="28" t="s">
        <v>291</v>
      </c>
      <c r="I45" s="28">
        <v>1</v>
      </c>
      <c r="J45" s="28">
        <v>10</v>
      </c>
      <c r="K45" s="28">
        <v>1</v>
      </c>
      <c r="L45" s="12" t="s">
        <v>395</v>
      </c>
      <c r="M45" s="12">
        <v>0</v>
      </c>
      <c r="N45" s="12" t="s">
        <v>987</v>
      </c>
      <c r="O45" s="12" t="s">
        <v>749</v>
      </c>
      <c r="P45" s="28" t="s">
        <v>291</v>
      </c>
      <c r="Q45" s="28">
        <v>1</v>
      </c>
      <c r="R45" s="28">
        <v>10</v>
      </c>
      <c r="S45" s="28">
        <v>1</v>
      </c>
      <c r="T45" s="12" t="s">
        <v>396</v>
      </c>
      <c r="U45" s="12" t="s">
        <v>340</v>
      </c>
      <c r="V45" s="12" t="s">
        <v>988</v>
      </c>
      <c r="W45" s="12" t="s">
        <v>684</v>
      </c>
      <c r="X45" s="28" t="s">
        <v>291</v>
      </c>
      <c r="Y45" s="28">
        <v>0</v>
      </c>
      <c r="Z45" s="28">
        <v>18</v>
      </c>
      <c r="AA45" s="28">
        <v>4</v>
      </c>
      <c r="AB45" s="12" t="s">
        <v>394</v>
      </c>
      <c r="AC45" s="12" t="s">
        <v>340</v>
      </c>
      <c r="AD45" s="12" t="s">
        <v>989</v>
      </c>
      <c r="AE45" s="12" t="s">
        <v>750</v>
      </c>
      <c r="AF45" s="12" t="s">
        <v>1093</v>
      </c>
      <c r="AG45" s="12" t="s">
        <v>1093</v>
      </c>
      <c r="AH45" s="12" t="s">
        <v>1101</v>
      </c>
      <c r="AI45" s="12">
        <v>5.56</v>
      </c>
      <c r="AJ45" s="12">
        <v>1.51</v>
      </c>
      <c r="AK45" s="12">
        <v>1.85</v>
      </c>
      <c r="AL45" s="12">
        <f t="shared" si="27"/>
        <v>8.92</v>
      </c>
      <c r="AM45" s="22">
        <v>15615</v>
      </c>
      <c r="AN45" s="22">
        <v>5950</v>
      </c>
      <c r="AO45" s="22">
        <v>0</v>
      </c>
      <c r="AP45" s="22">
        <v>0</v>
      </c>
      <c r="AQ45" s="16">
        <v>19.75</v>
      </c>
      <c r="AR45" s="16">
        <v>1375</v>
      </c>
      <c r="AS45" s="22">
        <v>15075</v>
      </c>
      <c r="AT45" s="22">
        <v>0</v>
      </c>
      <c r="AU45" s="22">
        <v>1010</v>
      </c>
      <c r="AV45" s="22">
        <v>0</v>
      </c>
      <c r="AW45" s="16">
        <v>10.050000000000001</v>
      </c>
      <c r="AX45" s="22">
        <v>9510</v>
      </c>
      <c r="AY45" s="22">
        <v>0</v>
      </c>
      <c r="AZ45" s="22">
        <v>0</v>
      </c>
      <c r="BA45" s="22">
        <v>0</v>
      </c>
      <c r="BB45" s="16">
        <v>10</v>
      </c>
      <c r="BC45" s="25">
        <f t="shared" si="33"/>
        <v>40200</v>
      </c>
      <c r="BD45" s="26">
        <f t="shared" si="34"/>
        <v>5950</v>
      </c>
      <c r="BE45" s="25">
        <f t="shared" si="35"/>
        <v>1010</v>
      </c>
      <c r="BF45" s="25">
        <f t="shared" si="36"/>
        <v>0</v>
      </c>
      <c r="BG45" s="16">
        <f t="shared" si="28"/>
        <v>13.805970149253731</v>
      </c>
      <c r="BH45" s="16">
        <f t="shared" si="29"/>
        <v>1375</v>
      </c>
      <c r="BI45" s="12">
        <v>0</v>
      </c>
      <c r="BJ45" s="12">
        <v>0</v>
      </c>
      <c r="BK45" s="12">
        <v>0</v>
      </c>
      <c r="BL45" s="12">
        <v>0</v>
      </c>
      <c r="BM45" s="12">
        <v>0</v>
      </c>
      <c r="BN45" s="12">
        <v>0</v>
      </c>
      <c r="BO45" s="12">
        <v>0</v>
      </c>
      <c r="BP45" s="12">
        <v>0</v>
      </c>
      <c r="BQ45" s="18">
        <v>0</v>
      </c>
      <c r="BR45" s="12">
        <v>0</v>
      </c>
      <c r="BS45" s="22">
        <v>17.5</v>
      </c>
      <c r="BT45" s="17">
        <v>1150</v>
      </c>
      <c r="BU45" s="12">
        <v>0</v>
      </c>
      <c r="BV45" s="12">
        <v>0</v>
      </c>
      <c r="BW45" s="12">
        <v>0</v>
      </c>
      <c r="BX45" s="12">
        <v>0</v>
      </c>
      <c r="BY45" s="12">
        <v>0</v>
      </c>
      <c r="BZ45" s="12">
        <v>0</v>
      </c>
      <c r="CA45" s="12">
        <v>0</v>
      </c>
      <c r="CB45" s="12">
        <v>0</v>
      </c>
      <c r="CC45" s="17">
        <v>0</v>
      </c>
      <c r="CD45" s="12">
        <v>0</v>
      </c>
      <c r="CE45" s="18">
        <v>20.5</v>
      </c>
      <c r="CF45" s="17">
        <v>11420</v>
      </c>
      <c r="CG45" s="18">
        <v>5.2999999999999901</v>
      </c>
      <c r="CH45" s="19" t="s">
        <v>340</v>
      </c>
      <c r="CI45" s="12">
        <v>15000</v>
      </c>
      <c r="CJ45" s="18">
        <f t="shared" si="37"/>
        <v>1578.9473684210527</v>
      </c>
      <c r="CK45" s="18" t="s">
        <v>142</v>
      </c>
      <c r="CL45" s="18">
        <f t="shared" si="38"/>
        <v>87.719298245614041</v>
      </c>
      <c r="CM45" s="12" t="s">
        <v>340</v>
      </c>
      <c r="CN45" s="12" t="s">
        <v>108</v>
      </c>
      <c r="CO45" s="19" t="s">
        <v>340</v>
      </c>
      <c r="CP45" s="12">
        <v>10000</v>
      </c>
      <c r="CQ45" s="20">
        <f>+CP45/5.5*16</f>
        <v>29090.909090909092</v>
      </c>
      <c r="CR45" s="12" t="s">
        <v>142</v>
      </c>
      <c r="CS45" s="12">
        <v>1011</v>
      </c>
      <c r="CT45" s="12" t="s">
        <v>108</v>
      </c>
      <c r="CU45" s="12" t="s">
        <v>388</v>
      </c>
      <c r="CV45" s="12" t="s">
        <v>389</v>
      </c>
      <c r="CW45" s="12">
        <v>9851015400</v>
      </c>
      <c r="CX45" s="12" t="s">
        <v>390</v>
      </c>
      <c r="CY45" s="12" t="s">
        <v>142</v>
      </c>
      <c r="CZ45" s="12">
        <f>1016-14</f>
        <v>1002</v>
      </c>
      <c r="DA45" s="12" t="s">
        <v>340</v>
      </c>
      <c r="DB45" s="12" t="s">
        <v>990</v>
      </c>
      <c r="DC45" s="12">
        <v>142</v>
      </c>
      <c r="DD45" s="12">
        <v>52</v>
      </c>
      <c r="DE45" s="12">
        <v>52000</v>
      </c>
      <c r="DF45" s="21" t="str">
        <f t="shared" si="30"/>
        <v>Photos\New\SILIGURI.pptx</v>
      </c>
      <c r="DG45" s="21" t="str">
        <f t="shared" si="31"/>
        <v>Videos\New\SILIGURI</v>
      </c>
      <c r="DH45" s="21" t="str">
        <f t="shared" si="32"/>
        <v>Manpower\SILIGURI.pptx</v>
      </c>
    </row>
    <row r="46" spans="1:112" ht="15.75" customHeight="1" x14ac:dyDescent="0.35">
      <c r="A46" s="12" t="s">
        <v>426</v>
      </c>
      <c r="B46" s="12" t="s">
        <v>427</v>
      </c>
      <c r="C46" s="12">
        <v>0</v>
      </c>
      <c r="D46" s="12">
        <v>0</v>
      </c>
      <c r="E46" s="12" t="s">
        <v>991</v>
      </c>
      <c r="F46" s="12">
        <v>0</v>
      </c>
      <c r="G46" s="12">
        <v>0</v>
      </c>
      <c r="H46" s="28" t="s">
        <v>104</v>
      </c>
      <c r="I46" s="28">
        <v>0</v>
      </c>
      <c r="J46" s="28">
        <v>11.5</v>
      </c>
      <c r="K46" s="28">
        <v>5</v>
      </c>
      <c r="L46" s="12" t="s">
        <v>428</v>
      </c>
      <c r="M46" s="12" t="s">
        <v>751</v>
      </c>
      <c r="N46" s="12" t="s">
        <v>992</v>
      </c>
      <c r="O46" s="12" t="s">
        <v>688</v>
      </c>
      <c r="P46" s="12">
        <v>0</v>
      </c>
      <c r="Q46" s="12">
        <v>0</v>
      </c>
      <c r="R46" s="12">
        <v>0</v>
      </c>
      <c r="S46" s="12">
        <v>0</v>
      </c>
      <c r="T46" s="12">
        <v>0</v>
      </c>
      <c r="U46" s="12">
        <v>0</v>
      </c>
      <c r="V46" s="12">
        <v>0</v>
      </c>
      <c r="W46" s="12">
        <v>0</v>
      </c>
      <c r="X46" s="12">
        <v>0</v>
      </c>
      <c r="Y46" s="12">
        <v>0</v>
      </c>
      <c r="Z46" s="12">
        <v>0</v>
      </c>
      <c r="AA46" s="12">
        <v>0</v>
      </c>
      <c r="AB46" s="12">
        <v>0</v>
      </c>
      <c r="AC46" s="12">
        <v>0</v>
      </c>
      <c r="AD46" s="12">
        <v>0</v>
      </c>
      <c r="AE46" s="12">
        <v>0</v>
      </c>
      <c r="AF46" s="12" t="s">
        <v>1083</v>
      </c>
      <c r="AG46" s="12">
        <v>0</v>
      </c>
      <c r="AH46" s="12">
        <v>0</v>
      </c>
      <c r="AI46" s="12">
        <v>0</v>
      </c>
      <c r="AJ46" s="12">
        <v>0</v>
      </c>
      <c r="AK46" s="12">
        <v>0</v>
      </c>
      <c r="AL46" s="12">
        <f t="shared" si="27"/>
        <v>0</v>
      </c>
      <c r="AM46" s="22">
        <v>11000</v>
      </c>
      <c r="AN46" s="22">
        <v>1000</v>
      </c>
      <c r="AO46" s="22">
        <v>800</v>
      </c>
      <c r="AP46" s="22">
        <v>0</v>
      </c>
      <c r="AQ46" s="16">
        <v>20</v>
      </c>
      <c r="AR46" s="16">
        <v>1400</v>
      </c>
      <c r="AS46" s="12">
        <v>0</v>
      </c>
      <c r="AT46" s="12">
        <v>0</v>
      </c>
      <c r="AU46" s="12">
        <v>0</v>
      </c>
      <c r="AV46" s="12">
        <v>0</v>
      </c>
      <c r="AW46" s="12">
        <v>0</v>
      </c>
      <c r="AX46" s="12">
        <v>0</v>
      </c>
      <c r="AY46" s="12">
        <v>0</v>
      </c>
      <c r="AZ46" s="12">
        <v>0</v>
      </c>
      <c r="BA46" s="12">
        <v>0</v>
      </c>
      <c r="BB46" s="12">
        <v>0</v>
      </c>
      <c r="BC46" s="13">
        <f t="shared" si="33"/>
        <v>11000</v>
      </c>
      <c r="BD46" s="14">
        <f t="shared" si="34"/>
        <v>1000</v>
      </c>
      <c r="BE46" s="13">
        <f t="shared" si="35"/>
        <v>800</v>
      </c>
      <c r="BF46" s="22">
        <f t="shared" si="36"/>
        <v>0</v>
      </c>
      <c r="BG46" s="16">
        <f t="shared" si="28"/>
        <v>20</v>
      </c>
      <c r="BH46" s="16">
        <f t="shared" si="29"/>
        <v>1400</v>
      </c>
      <c r="BI46" s="12">
        <v>0</v>
      </c>
      <c r="BJ46" s="12">
        <v>0</v>
      </c>
      <c r="BK46" s="12">
        <v>0</v>
      </c>
      <c r="BL46" s="12">
        <v>0</v>
      </c>
      <c r="BM46" s="12">
        <v>0</v>
      </c>
      <c r="BN46" s="12">
        <v>0</v>
      </c>
      <c r="BO46" s="12">
        <v>0</v>
      </c>
      <c r="BP46" s="12">
        <v>0</v>
      </c>
      <c r="BQ46" s="18">
        <v>0</v>
      </c>
      <c r="BR46" s="12">
        <v>0</v>
      </c>
      <c r="BS46" s="22">
        <v>17.75</v>
      </c>
      <c r="BT46" s="17">
        <v>1175</v>
      </c>
      <c r="BU46" s="12" t="s">
        <v>429</v>
      </c>
      <c r="BV46" s="12" t="s">
        <v>991</v>
      </c>
      <c r="BW46" s="12" t="s">
        <v>424</v>
      </c>
      <c r="BX46" s="12">
        <v>9967969990</v>
      </c>
      <c r="BY46" s="12" t="s">
        <v>993</v>
      </c>
      <c r="BZ46" s="12" t="s">
        <v>730</v>
      </c>
      <c r="CA46" s="12" t="s">
        <v>1094</v>
      </c>
      <c r="CB46" s="12">
        <v>0</v>
      </c>
      <c r="CC46" s="12">
        <v>11000</v>
      </c>
      <c r="CD46" s="12">
        <v>11000</v>
      </c>
      <c r="CE46" s="18">
        <v>20.75</v>
      </c>
      <c r="CF46" s="17">
        <v>11430</v>
      </c>
      <c r="CG46" s="18">
        <v>5.3999999999999897</v>
      </c>
      <c r="CH46" s="19" t="s">
        <v>340</v>
      </c>
      <c r="CI46" s="12">
        <v>10000</v>
      </c>
      <c r="CJ46" s="18">
        <f t="shared" si="37"/>
        <v>1052.6315789473683</v>
      </c>
      <c r="CK46" s="18" t="s">
        <v>142</v>
      </c>
      <c r="CL46" s="18">
        <f t="shared" si="38"/>
        <v>58.479532163742682</v>
      </c>
      <c r="CM46" s="12">
        <v>1015</v>
      </c>
      <c r="CN46" s="12" t="s">
        <v>430</v>
      </c>
      <c r="CO46" s="19" t="s">
        <v>340</v>
      </c>
      <c r="CP46" s="12">
        <v>0</v>
      </c>
      <c r="CQ46" s="12">
        <v>0</v>
      </c>
      <c r="CR46" s="12">
        <v>0</v>
      </c>
      <c r="CS46" s="12">
        <v>0</v>
      </c>
      <c r="CT46" s="12">
        <v>0</v>
      </c>
      <c r="CU46" s="12" t="s">
        <v>180</v>
      </c>
      <c r="CV46" s="12" t="s">
        <v>424</v>
      </c>
      <c r="CW46" s="12">
        <v>9967969990</v>
      </c>
      <c r="CX46" s="12" t="s">
        <v>994</v>
      </c>
      <c r="CY46" s="12" t="s">
        <v>425</v>
      </c>
      <c r="CZ46" s="12">
        <f>1017-5</f>
        <v>1012</v>
      </c>
      <c r="DA46" s="12">
        <v>0</v>
      </c>
      <c r="DB46" s="12" t="s">
        <v>995</v>
      </c>
      <c r="DC46" s="12">
        <v>143</v>
      </c>
      <c r="DD46" s="12">
        <v>53</v>
      </c>
      <c r="DE46" s="12">
        <v>53000</v>
      </c>
      <c r="DF46" s="21" t="str">
        <f t="shared" si="30"/>
        <v>Photos\New\JODHPUR.pptx</v>
      </c>
      <c r="DG46" s="21" t="str">
        <f t="shared" si="31"/>
        <v>Videos\New\JODHPUR</v>
      </c>
      <c r="DH46" s="21" t="str">
        <f t="shared" si="32"/>
        <v>Manpower\JODHPUR.pptx</v>
      </c>
    </row>
    <row r="47" spans="1:112" ht="15.75" customHeight="1" x14ac:dyDescent="0.35">
      <c r="A47" s="12" t="s">
        <v>466</v>
      </c>
      <c r="B47" s="12" t="s">
        <v>446</v>
      </c>
      <c r="C47" s="12" t="s">
        <v>444</v>
      </c>
      <c r="D47" s="12" t="s">
        <v>445</v>
      </c>
      <c r="E47" s="12" t="s">
        <v>752</v>
      </c>
      <c r="F47" s="12" t="s">
        <v>753</v>
      </c>
      <c r="G47" s="12" t="s">
        <v>752</v>
      </c>
      <c r="H47" s="28" t="s">
        <v>104</v>
      </c>
      <c r="I47" s="28">
        <v>1</v>
      </c>
      <c r="J47" s="28">
        <v>10</v>
      </c>
      <c r="K47" s="28">
        <v>6</v>
      </c>
      <c r="L47" s="12" t="s">
        <v>448</v>
      </c>
      <c r="M47" s="12">
        <v>9501515154</v>
      </c>
      <c r="N47" s="12" t="s">
        <v>754</v>
      </c>
      <c r="O47" s="12" t="s">
        <v>755</v>
      </c>
      <c r="P47" s="28" t="s">
        <v>104</v>
      </c>
      <c r="Q47" s="28">
        <v>5</v>
      </c>
      <c r="R47" s="28">
        <v>9</v>
      </c>
      <c r="S47" s="28">
        <v>1</v>
      </c>
      <c r="T47" s="12" t="s">
        <v>443</v>
      </c>
      <c r="U47" s="12">
        <v>9501515154</v>
      </c>
      <c r="V47" s="12" t="s">
        <v>756</v>
      </c>
      <c r="W47" s="12" t="s">
        <v>757</v>
      </c>
      <c r="X47" s="28" t="s">
        <v>104</v>
      </c>
      <c r="Y47" s="28">
        <v>1</v>
      </c>
      <c r="Z47" s="28">
        <v>10</v>
      </c>
      <c r="AA47" s="28">
        <v>6</v>
      </c>
      <c r="AB47" s="12" t="s">
        <v>447</v>
      </c>
      <c r="AC47" s="12">
        <v>9501515154</v>
      </c>
      <c r="AD47" s="12" t="s">
        <v>754</v>
      </c>
      <c r="AE47" s="12" t="s">
        <v>755</v>
      </c>
      <c r="AF47" s="12" t="s">
        <v>996</v>
      </c>
      <c r="AG47" s="12" t="s">
        <v>1093</v>
      </c>
      <c r="AH47" s="12" t="s">
        <v>996</v>
      </c>
      <c r="AI47" s="12">
        <v>0</v>
      </c>
      <c r="AJ47" s="12">
        <v>0</v>
      </c>
      <c r="AK47" s="12">
        <v>0</v>
      </c>
      <c r="AL47" s="12">
        <f t="shared" si="27"/>
        <v>0</v>
      </c>
      <c r="AM47" s="22">
        <v>5178</v>
      </c>
      <c r="AN47" s="22">
        <v>0</v>
      </c>
      <c r="AO47" s="22">
        <v>0</v>
      </c>
      <c r="AP47" s="22">
        <v>0</v>
      </c>
      <c r="AQ47" s="16">
        <v>20.25</v>
      </c>
      <c r="AR47" s="16">
        <v>1425</v>
      </c>
      <c r="AS47" s="22">
        <v>7518</v>
      </c>
      <c r="AT47" s="22">
        <v>0</v>
      </c>
      <c r="AU47" s="22">
        <v>0</v>
      </c>
      <c r="AV47" s="22">
        <v>0</v>
      </c>
      <c r="AW47" s="16">
        <v>8.15</v>
      </c>
      <c r="AX47" s="22">
        <v>5178</v>
      </c>
      <c r="AY47" s="22">
        <v>0</v>
      </c>
      <c r="AZ47" s="22">
        <v>0</v>
      </c>
      <c r="BA47" s="22">
        <v>0</v>
      </c>
      <c r="BB47" s="16">
        <v>9.56</v>
      </c>
      <c r="BC47" s="25">
        <f t="shared" si="33"/>
        <v>17874</v>
      </c>
      <c r="BD47" s="25">
        <f t="shared" si="34"/>
        <v>0</v>
      </c>
      <c r="BE47" s="25">
        <f t="shared" si="35"/>
        <v>0</v>
      </c>
      <c r="BF47" s="25">
        <f t="shared" si="36"/>
        <v>0</v>
      </c>
      <c r="BG47" s="16">
        <f t="shared" si="28"/>
        <v>12.063773078214165</v>
      </c>
      <c r="BH47" s="16">
        <f t="shared" si="29"/>
        <v>1425</v>
      </c>
      <c r="BI47" s="12">
        <v>0</v>
      </c>
      <c r="BJ47" s="12">
        <v>0</v>
      </c>
      <c r="BK47" s="12">
        <v>0</v>
      </c>
      <c r="BL47" s="12">
        <v>0</v>
      </c>
      <c r="BM47" s="12">
        <v>0</v>
      </c>
      <c r="BN47" s="12">
        <v>0</v>
      </c>
      <c r="BO47" s="12">
        <v>0</v>
      </c>
      <c r="BP47" s="12">
        <v>0</v>
      </c>
      <c r="BQ47" s="51">
        <v>0</v>
      </c>
      <c r="BR47" s="22">
        <v>0</v>
      </c>
      <c r="BS47" s="15">
        <v>18</v>
      </c>
      <c r="BT47" s="17">
        <v>1200</v>
      </c>
      <c r="BU47" s="12" t="s">
        <v>247</v>
      </c>
      <c r="BV47" s="12" t="s">
        <v>758</v>
      </c>
      <c r="BW47" s="12" t="s">
        <v>441</v>
      </c>
      <c r="BX47" s="12">
        <v>7104151078</v>
      </c>
      <c r="BY47" s="12" t="s">
        <v>997</v>
      </c>
      <c r="BZ47" s="12" t="s">
        <v>998</v>
      </c>
      <c r="CA47" s="12" t="s">
        <v>112</v>
      </c>
      <c r="CB47" s="12">
        <v>0</v>
      </c>
      <c r="CC47" s="12">
        <f>6100+9450</f>
        <v>15550</v>
      </c>
      <c r="CD47" s="12">
        <v>15650</v>
      </c>
      <c r="CE47" s="18">
        <v>21</v>
      </c>
      <c r="CF47" s="17">
        <v>11440</v>
      </c>
      <c r="CG47" s="12">
        <v>5.4999999999999902</v>
      </c>
      <c r="CH47" s="19" t="s">
        <v>340</v>
      </c>
      <c r="CI47" s="12">
        <v>18000</v>
      </c>
      <c r="CJ47" s="18">
        <f t="shared" si="37"/>
        <v>1894.7368421052631</v>
      </c>
      <c r="CK47" s="18">
        <v>1.56</v>
      </c>
      <c r="CL47" s="18">
        <f t="shared" si="38"/>
        <v>105.26315789473684</v>
      </c>
      <c r="CM47" s="34">
        <v>10061018</v>
      </c>
      <c r="CN47" s="12" t="s">
        <v>999</v>
      </c>
      <c r="CO47" s="19" t="s">
        <v>340</v>
      </c>
      <c r="CP47" s="12">
        <v>0</v>
      </c>
      <c r="CQ47" s="12">
        <v>0</v>
      </c>
      <c r="CR47" s="12">
        <v>0</v>
      </c>
      <c r="CS47" s="12">
        <v>0</v>
      </c>
      <c r="CT47" s="12">
        <v>0</v>
      </c>
      <c r="CU47" s="12" t="s">
        <v>449</v>
      </c>
      <c r="CV47" s="12" t="s">
        <v>442</v>
      </c>
      <c r="CW47" s="12">
        <v>9501515154</v>
      </c>
      <c r="CX47" s="12" t="s">
        <v>759</v>
      </c>
      <c r="CY47" s="12" t="s">
        <v>450</v>
      </c>
      <c r="CZ47" s="12">
        <f>1018-50</f>
        <v>968</v>
      </c>
      <c r="DA47" s="12">
        <v>0</v>
      </c>
      <c r="DB47" s="12" t="s">
        <v>862</v>
      </c>
      <c r="DC47" s="12">
        <v>144</v>
      </c>
      <c r="DD47" s="12">
        <v>54</v>
      </c>
      <c r="DE47" s="12">
        <v>54000</v>
      </c>
      <c r="DF47" s="21" t="str">
        <f t="shared" si="30"/>
        <v>Photos\New\RAIPUR.pptx</v>
      </c>
      <c r="DG47" s="21" t="str">
        <f t="shared" si="31"/>
        <v>Videos\New\RAIPUR</v>
      </c>
      <c r="DH47" s="21" t="str">
        <f t="shared" si="32"/>
        <v>Manpower\RAIPUR.pptx</v>
      </c>
    </row>
    <row r="48" spans="1:112" ht="15.75" customHeight="1" x14ac:dyDescent="0.35">
      <c r="A48" s="12" t="s">
        <v>468</v>
      </c>
      <c r="B48" s="12" t="s">
        <v>461</v>
      </c>
      <c r="C48" s="12">
        <v>0</v>
      </c>
      <c r="D48" s="12">
        <v>0</v>
      </c>
      <c r="E48" s="12" t="s">
        <v>1000</v>
      </c>
      <c r="F48" s="12">
        <v>0</v>
      </c>
      <c r="G48" s="12">
        <v>0</v>
      </c>
      <c r="H48" s="28" t="s">
        <v>104</v>
      </c>
      <c r="I48" s="28">
        <v>0</v>
      </c>
      <c r="J48" s="28">
        <v>15</v>
      </c>
      <c r="K48" s="28">
        <v>1</v>
      </c>
      <c r="L48" s="12" t="s">
        <v>462</v>
      </c>
      <c r="M48" s="12">
        <v>9814058551</v>
      </c>
      <c r="N48" s="12" t="s">
        <v>882</v>
      </c>
      <c r="O48" s="12" t="s">
        <v>709</v>
      </c>
      <c r="P48" s="12">
        <v>0</v>
      </c>
      <c r="Q48" s="12">
        <v>0</v>
      </c>
      <c r="R48" s="12">
        <v>0</v>
      </c>
      <c r="S48" s="12">
        <v>0</v>
      </c>
      <c r="T48" s="12">
        <v>0</v>
      </c>
      <c r="U48" s="12">
        <v>0</v>
      </c>
      <c r="V48" s="12">
        <v>0</v>
      </c>
      <c r="W48" s="12">
        <v>0</v>
      </c>
      <c r="X48" s="12">
        <v>0</v>
      </c>
      <c r="Y48" s="12">
        <v>0</v>
      </c>
      <c r="Z48" s="12">
        <v>0</v>
      </c>
      <c r="AA48" s="12">
        <v>0</v>
      </c>
      <c r="AB48" s="12">
        <v>0</v>
      </c>
      <c r="AC48" s="12">
        <v>0</v>
      </c>
      <c r="AD48" s="12">
        <v>0</v>
      </c>
      <c r="AE48" s="12">
        <v>0</v>
      </c>
      <c r="AF48" s="12" t="s">
        <v>1083</v>
      </c>
      <c r="AG48" s="12">
        <v>0</v>
      </c>
      <c r="AH48" s="12">
        <v>0</v>
      </c>
      <c r="AI48" s="12">
        <v>0</v>
      </c>
      <c r="AJ48" s="12">
        <v>0</v>
      </c>
      <c r="AK48" s="12">
        <v>0</v>
      </c>
      <c r="AL48" s="12">
        <f t="shared" si="27"/>
        <v>0</v>
      </c>
      <c r="AM48" s="22">
        <v>15151</v>
      </c>
      <c r="AN48" s="22">
        <v>1647</v>
      </c>
      <c r="AO48" s="22">
        <v>950</v>
      </c>
      <c r="AP48" s="22">
        <v>0</v>
      </c>
      <c r="AQ48" s="16">
        <v>20.5</v>
      </c>
      <c r="AR48" s="16">
        <v>1450</v>
      </c>
      <c r="AS48" s="12">
        <v>0</v>
      </c>
      <c r="AT48" s="12">
        <v>0</v>
      </c>
      <c r="AU48" s="12">
        <v>0</v>
      </c>
      <c r="AV48" s="12">
        <v>0</v>
      </c>
      <c r="AW48" s="12">
        <v>0</v>
      </c>
      <c r="AX48" s="12">
        <v>0</v>
      </c>
      <c r="AY48" s="12">
        <v>0</v>
      </c>
      <c r="AZ48" s="12">
        <v>0</v>
      </c>
      <c r="BA48" s="12">
        <v>0</v>
      </c>
      <c r="BB48" s="12">
        <v>0</v>
      </c>
      <c r="BC48" s="13">
        <f t="shared" si="33"/>
        <v>15151</v>
      </c>
      <c r="BD48" s="14">
        <f t="shared" si="34"/>
        <v>1647</v>
      </c>
      <c r="BE48" s="13">
        <f t="shared" si="35"/>
        <v>950</v>
      </c>
      <c r="BF48" s="22">
        <f t="shared" si="36"/>
        <v>0</v>
      </c>
      <c r="BG48" s="16">
        <f t="shared" si="28"/>
        <v>20.5</v>
      </c>
      <c r="BH48" s="16">
        <f t="shared" si="29"/>
        <v>1450</v>
      </c>
      <c r="BI48" s="12" t="s">
        <v>461</v>
      </c>
      <c r="BJ48" s="12" t="s">
        <v>1000</v>
      </c>
      <c r="BK48" s="12" t="s">
        <v>461</v>
      </c>
      <c r="BL48" s="12">
        <v>9814058551</v>
      </c>
      <c r="BM48" s="12" t="s">
        <v>882</v>
      </c>
      <c r="BN48" s="12" t="s">
        <v>709</v>
      </c>
      <c r="BO48" s="12" t="s">
        <v>1085</v>
      </c>
      <c r="BP48" s="12">
        <v>5.15</v>
      </c>
      <c r="BQ48" s="51">
        <v>1647</v>
      </c>
      <c r="BR48" s="22">
        <v>1647</v>
      </c>
      <c r="BS48" s="22">
        <v>18.25</v>
      </c>
      <c r="BT48" s="17">
        <v>1225</v>
      </c>
      <c r="BU48" s="12" t="s">
        <v>463</v>
      </c>
      <c r="BV48" s="12" t="s">
        <v>1001</v>
      </c>
      <c r="BW48" s="12" t="s">
        <v>464</v>
      </c>
      <c r="BX48" s="12">
        <v>9518589000</v>
      </c>
      <c r="BY48" s="12" t="s">
        <v>1002</v>
      </c>
      <c r="BZ48" s="12" t="s">
        <v>709</v>
      </c>
      <c r="CA48" s="12" t="s">
        <v>1003</v>
      </c>
      <c r="CB48" s="12">
        <v>0</v>
      </c>
      <c r="CC48" s="12">
        <v>11871</v>
      </c>
      <c r="CD48" s="12">
        <v>11871</v>
      </c>
      <c r="CE48" s="18">
        <v>21.25</v>
      </c>
      <c r="CF48" s="12">
        <v>11450</v>
      </c>
      <c r="CG48" s="18">
        <v>5.5999999999999899</v>
      </c>
      <c r="CH48" s="19" t="s">
        <v>340</v>
      </c>
      <c r="CI48" s="12">
        <v>0</v>
      </c>
      <c r="CJ48" s="12">
        <v>0</v>
      </c>
      <c r="CK48" s="12" t="s">
        <v>142</v>
      </c>
      <c r="CL48" s="12">
        <v>0</v>
      </c>
      <c r="CM48" s="12" t="s">
        <v>142</v>
      </c>
      <c r="CN48" s="12" t="s">
        <v>142</v>
      </c>
      <c r="CO48" s="19" t="s">
        <v>340</v>
      </c>
      <c r="CP48" s="12">
        <v>0</v>
      </c>
      <c r="CQ48" s="12">
        <v>0</v>
      </c>
      <c r="CR48" s="12">
        <v>0</v>
      </c>
      <c r="CS48" s="12">
        <v>0</v>
      </c>
      <c r="CT48" s="12">
        <v>0</v>
      </c>
      <c r="CU48" s="12" t="s">
        <v>459</v>
      </c>
      <c r="CV48" s="12" t="s">
        <v>460</v>
      </c>
      <c r="CW48" s="12">
        <v>9574570001</v>
      </c>
      <c r="CX48" s="12" t="s">
        <v>1004</v>
      </c>
      <c r="CY48" s="12" t="s">
        <v>289</v>
      </c>
      <c r="CZ48" s="12">
        <v>1019</v>
      </c>
      <c r="DA48" s="12">
        <v>0</v>
      </c>
      <c r="DB48" s="12" t="s">
        <v>1005</v>
      </c>
      <c r="DC48" s="12">
        <v>145</v>
      </c>
      <c r="DD48" s="12">
        <v>55</v>
      </c>
      <c r="DE48" s="12">
        <v>55000</v>
      </c>
      <c r="DF48" s="21" t="str">
        <f t="shared" si="30"/>
        <v>Photos\New\RAJKOT.pptx</v>
      </c>
      <c r="DG48" s="21" t="str">
        <f t="shared" si="31"/>
        <v>Videos\New\RAJKOT</v>
      </c>
      <c r="DH48" s="21" t="str">
        <f t="shared" si="32"/>
        <v>Manpower\RAJKOT.pptx</v>
      </c>
    </row>
    <row r="49" spans="1:112" ht="15.75" customHeight="1" x14ac:dyDescent="0.35">
      <c r="A49" s="12" t="s">
        <v>470</v>
      </c>
      <c r="B49" s="12" t="s">
        <v>473</v>
      </c>
      <c r="C49" s="12">
        <v>0</v>
      </c>
      <c r="D49" s="12">
        <v>0</v>
      </c>
      <c r="E49" s="12" t="s">
        <v>760</v>
      </c>
      <c r="F49" s="12">
        <v>0</v>
      </c>
      <c r="G49" s="12">
        <v>0</v>
      </c>
      <c r="H49" s="28" t="s">
        <v>474</v>
      </c>
      <c r="I49" s="28">
        <v>1</v>
      </c>
      <c r="J49" s="28">
        <v>15</v>
      </c>
      <c r="K49" s="28">
        <v>4</v>
      </c>
      <c r="L49" s="12" t="s">
        <v>475</v>
      </c>
      <c r="M49" s="12" t="s">
        <v>1006</v>
      </c>
      <c r="N49" s="12" t="s">
        <v>1007</v>
      </c>
      <c r="O49" s="12" t="s">
        <v>761</v>
      </c>
      <c r="P49" s="12">
        <v>0</v>
      </c>
      <c r="Q49" s="12">
        <v>0</v>
      </c>
      <c r="R49" s="12">
        <v>0</v>
      </c>
      <c r="S49" s="12">
        <v>0</v>
      </c>
      <c r="T49" s="12">
        <v>0</v>
      </c>
      <c r="U49" s="12">
        <v>0</v>
      </c>
      <c r="V49" s="12">
        <v>0</v>
      </c>
      <c r="W49" s="12">
        <v>0</v>
      </c>
      <c r="X49" s="12">
        <v>0</v>
      </c>
      <c r="Y49" s="12">
        <v>0</v>
      </c>
      <c r="Z49" s="12">
        <v>0</v>
      </c>
      <c r="AA49" s="12">
        <v>0</v>
      </c>
      <c r="AB49" s="12">
        <v>0</v>
      </c>
      <c r="AC49" s="12">
        <v>0</v>
      </c>
      <c r="AD49" s="12">
        <v>0</v>
      </c>
      <c r="AE49" s="12">
        <v>0</v>
      </c>
      <c r="AF49" s="12" t="s">
        <v>1085</v>
      </c>
      <c r="AG49" s="12">
        <v>0</v>
      </c>
      <c r="AH49" s="12">
        <v>0</v>
      </c>
      <c r="AI49" s="12">
        <v>5.98</v>
      </c>
      <c r="AJ49" s="12">
        <v>0</v>
      </c>
      <c r="AK49" s="12">
        <v>0</v>
      </c>
      <c r="AL49" s="12">
        <f t="shared" si="27"/>
        <v>5.98</v>
      </c>
      <c r="AM49" s="22">
        <v>10556</v>
      </c>
      <c r="AN49" s="22">
        <v>500</v>
      </c>
      <c r="AO49" s="22">
        <v>700</v>
      </c>
      <c r="AP49" s="22">
        <v>0</v>
      </c>
      <c r="AQ49" s="16">
        <v>20.75</v>
      </c>
      <c r="AR49" s="16">
        <v>1475</v>
      </c>
      <c r="AS49" s="12">
        <v>0</v>
      </c>
      <c r="AT49" s="12">
        <v>0</v>
      </c>
      <c r="AU49" s="12">
        <v>0</v>
      </c>
      <c r="AV49" s="12">
        <v>0</v>
      </c>
      <c r="AW49" s="12">
        <v>0</v>
      </c>
      <c r="AX49" s="12">
        <v>0</v>
      </c>
      <c r="AY49" s="12">
        <v>0</v>
      </c>
      <c r="AZ49" s="12">
        <v>0</v>
      </c>
      <c r="BA49" s="12">
        <v>0</v>
      </c>
      <c r="BB49" s="12">
        <v>0</v>
      </c>
      <c r="BC49" s="13">
        <f t="shared" si="33"/>
        <v>10556</v>
      </c>
      <c r="BD49" s="14">
        <f t="shared" si="34"/>
        <v>500</v>
      </c>
      <c r="BE49" s="13">
        <f t="shared" si="35"/>
        <v>700</v>
      </c>
      <c r="BF49" s="22">
        <f t="shared" si="36"/>
        <v>0</v>
      </c>
      <c r="BG49" s="16">
        <f t="shared" si="28"/>
        <v>20.75</v>
      </c>
      <c r="BH49" s="16">
        <f t="shared" si="29"/>
        <v>1475</v>
      </c>
      <c r="BI49" s="12" t="s">
        <v>473</v>
      </c>
      <c r="BJ49" s="12" t="s">
        <v>760</v>
      </c>
      <c r="BK49" s="12" t="s">
        <v>475</v>
      </c>
      <c r="BL49" s="12" t="s">
        <v>1006</v>
      </c>
      <c r="BM49" s="12" t="s">
        <v>1008</v>
      </c>
      <c r="BN49" s="12" t="s">
        <v>709</v>
      </c>
      <c r="BO49" s="12" t="s">
        <v>1085</v>
      </c>
      <c r="BP49" s="12">
        <v>0.54</v>
      </c>
      <c r="BQ49" s="51">
        <v>500</v>
      </c>
      <c r="BR49" s="22">
        <v>500</v>
      </c>
      <c r="BS49" s="22">
        <v>18.5</v>
      </c>
      <c r="BT49" s="17">
        <v>1250</v>
      </c>
      <c r="BU49" s="12" t="s">
        <v>473</v>
      </c>
      <c r="BV49" s="12" t="s">
        <v>760</v>
      </c>
      <c r="BW49" s="12" t="s">
        <v>475</v>
      </c>
      <c r="BX49" s="12" t="s">
        <v>1006</v>
      </c>
      <c r="BY49" s="12" t="s">
        <v>1008</v>
      </c>
      <c r="BZ49" s="12" t="s">
        <v>709</v>
      </c>
      <c r="CA49" s="12" t="s">
        <v>1090</v>
      </c>
      <c r="CB49" s="12">
        <v>1.4</v>
      </c>
      <c r="CC49" s="17">
        <f>4000/5.45</f>
        <v>733.94495412844037</v>
      </c>
      <c r="CD49" s="12">
        <v>1159</v>
      </c>
      <c r="CE49" s="18">
        <v>21.5</v>
      </c>
      <c r="CF49" s="17">
        <v>11460</v>
      </c>
      <c r="CG49" s="18">
        <v>5.6999999999999904</v>
      </c>
      <c r="CH49" s="19" t="s">
        <v>340</v>
      </c>
      <c r="CI49" s="12">
        <v>0</v>
      </c>
      <c r="CJ49" s="12">
        <v>0</v>
      </c>
      <c r="CK49" s="12" t="s">
        <v>142</v>
      </c>
      <c r="CL49" s="12">
        <v>0</v>
      </c>
      <c r="CM49" s="12" t="s">
        <v>142</v>
      </c>
      <c r="CN49" s="12" t="s">
        <v>142</v>
      </c>
      <c r="CO49" s="19" t="s">
        <v>340</v>
      </c>
      <c r="CP49" s="12">
        <v>0</v>
      </c>
      <c r="CQ49" s="12">
        <v>0</v>
      </c>
      <c r="CR49" s="12">
        <v>0</v>
      </c>
      <c r="CS49" s="12">
        <v>0</v>
      </c>
      <c r="CT49" s="12">
        <v>0</v>
      </c>
      <c r="CU49" s="12" t="s">
        <v>471</v>
      </c>
      <c r="CV49" s="12" t="s">
        <v>472</v>
      </c>
      <c r="CW49" s="12">
        <v>9451156041</v>
      </c>
      <c r="CX49" s="12" t="s">
        <v>762</v>
      </c>
      <c r="CY49" s="12" t="s">
        <v>622</v>
      </c>
      <c r="CZ49" s="12">
        <f>1018-5</f>
        <v>1013</v>
      </c>
      <c r="DA49" s="12">
        <v>0</v>
      </c>
      <c r="DB49" s="12" t="s">
        <v>831</v>
      </c>
      <c r="DC49" s="12">
        <v>146</v>
      </c>
      <c r="DD49" s="12">
        <v>56</v>
      </c>
      <c r="DE49" s="12">
        <v>56000</v>
      </c>
      <c r="DF49" s="21" t="str">
        <f t="shared" si="30"/>
        <v>Photos\New\BHAGALPUR.pptx</v>
      </c>
      <c r="DG49" s="21" t="str">
        <f t="shared" si="31"/>
        <v>Videos\New\BHAGALPUR</v>
      </c>
      <c r="DH49" s="21" t="str">
        <f t="shared" si="32"/>
        <v>Manpower\BHAGALPUR.pptx</v>
      </c>
    </row>
    <row r="50" spans="1:112" ht="15.75" customHeight="1" x14ac:dyDescent="0.35">
      <c r="A50" s="24" t="s">
        <v>483</v>
      </c>
      <c r="B50" s="12" t="s">
        <v>498</v>
      </c>
      <c r="C50" s="12">
        <v>0</v>
      </c>
      <c r="D50" s="12">
        <v>0</v>
      </c>
      <c r="E50" s="12" t="s">
        <v>499</v>
      </c>
      <c r="F50" s="12">
        <v>0</v>
      </c>
      <c r="G50" s="12">
        <v>0</v>
      </c>
      <c r="H50" s="28" t="s">
        <v>170</v>
      </c>
      <c r="I50" s="28">
        <v>1</v>
      </c>
      <c r="J50" s="28">
        <v>15</v>
      </c>
      <c r="K50" s="28">
        <v>1</v>
      </c>
      <c r="L50" s="12" t="s">
        <v>500</v>
      </c>
      <c r="M50" s="12" t="s">
        <v>1009</v>
      </c>
      <c r="N50" s="12" t="s">
        <v>1010</v>
      </c>
      <c r="O50" s="12" t="s">
        <v>746</v>
      </c>
      <c r="P50" s="12">
        <v>0</v>
      </c>
      <c r="Q50" s="12">
        <v>0</v>
      </c>
      <c r="R50" s="12">
        <v>0</v>
      </c>
      <c r="S50" s="12">
        <v>0</v>
      </c>
      <c r="T50" s="12">
        <v>0</v>
      </c>
      <c r="U50" s="12">
        <v>0</v>
      </c>
      <c r="V50" s="12">
        <v>0</v>
      </c>
      <c r="W50" s="12">
        <v>0</v>
      </c>
      <c r="X50" s="12">
        <v>0</v>
      </c>
      <c r="Y50" s="12">
        <v>0</v>
      </c>
      <c r="Z50" s="12">
        <v>0</v>
      </c>
      <c r="AA50" s="12">
        <v>0</v>
      </c>
      <c r="AB50" s="12">
        <v>0</v>
      </c>
      <c r="AC50" s="12">
        <v>0</v>
      </c>
      <c r="AD50" s="12">
        <v>0</v>
      </c>
      <c r="AE50" s="12">
        <v>0</v>
      </c>
      <c r="AF50" s="12" t="s">
        <v>1102</v>
      </c>
      <c r="AG50" s="12">
        <v>0</v>
      </c>
      <c r="AH50" s="12">
        <v>0</v>
      </c>
      <c r="AI50" s="12">
        <v>0</v>
      </c>
      <c r="AJ50" s="12">
        <v>0</v>
      </c>
      <c r="AK50" s="12">
        <v>0</v>
      </c>
      <c r="AL50" s="12">
        <f t="shared" si="27"/>
        <v>0</v>
      </c>
      <c r="AM50" s="22">
        <v>10645</v>
      </c>
      <c r="AN50" s="22">
        <v>1500</v>
      </c>
      <c r="AO50" s="22">
        <v>1600</v>
      </c>
      <c r="AP50" s="22">
        <v>150</v>
      </c>
      <c r="AQ50" s="16">
        <v>21</v>
      </c>
      <c r="AR50" s="16">
        <v>1500</v>
      </c>
      <c r="AS50" s="12">
        <v>0</v>
      </c>
      <c r="AT50" s="12">
        <v>0</v>
      </c>
      <c r="AU50" s="12">
        <v>0</v>
      </c>
      <c r="AV50" s="12">
        <v>0</v>
      </c>
      <c r="AW50" s="12">
        <v>0</v>
      </c>
      <c r="AX50" s="12">
        <v>0</v>
      </c>
      <c r="AY50" s="12">
        <v>0</v>
      </c>
      <c r="AZ50" s="12">
        <v>0</v>
      </c>
      <c r="BA50" s="12">
        <v>0</v>
      </c>
      <c r="BB50" s="12">
        <v>0</v>
      </c>
      <c r="BC50" s="13">
        <f t="shared" si="33"/>
        <v>10645</v>
      </c>
      <c r="BD50" s="13">
        <f t="shared" si="34"/>
        <v>1500</v>
      </c>
      <c r="BE50" s="13">
        <f t="shared" si="35"/>
        <v>1600</v>
      </c>
      <c r="BF50" s="22">
        <f t="shared" si="36"/>
        <v>150</v>
      </c>
      <c r="BG50" s="16">
        <f t="shared" si="28"/>
        <v>21</v>
      </c>
      <c r="BH50" s="16">
        <f t="shared" si="29"/>
        <v>1500</v>
      </c>
      <c r="BI50" s="12">
        <v>0</v>
      </c>
      <c r="BJ50" s="12">
        <v>0</v>
      </c>
      <c r="BK50" s="12">
        <v>0</v>
      </c>
      <c r="BL50" s="12">
        <v>0</v>
      </c>
      <c r="BM50" s="12">
        <v>0</v>
      </c>
      <c r="BN50" s="12">
        <v>0</v>
      </c>
      <c r="BO50" s="12">
        <v>0</v>
      </c>
      <c r="BP50" s="12">
        <v>0</v>
      </c>
      <c r="BQ50" s="18">
        <v>0</v>
      </c>
      <c r="BR50" s="12">
        <v>0</v>
      </c>
      <c r="BS50" s="22">
        <v>18.75</v>
      </c>
      <c r="BT50" s="17">
        <v>1275</v>
      </c>
      <c r="BU50" s="12" t="s">
        <v>496</v>
      </c>
      <c r="BV50" s="12" t="s">
        <v>1011</v>
      </c>
      <c r="BW50" s="12" t="s">
        <v>497</v>
      </c>
      <c r="BX50" s="12">
        <v>9914114111</v>
      </c>
      <c r="BY50" s="12" t="s">
        <v>1012</v>
      </c>
      <c r="BZ50" s="12" t="s">
        <v>998</v>
      </c>
      <c r="CA50" s="12" t="s">
        <v>1089</v>
      </c>
      <c r="CB50" s="12">
        <v>1</v>
      </c>
      <c r="CC50" s="12">
        <v>65000</v>
      </c>
      <c r="CD50" s="12">
        <v>65000</v>
      </c>
      <c r="CE50" s="18">
        <v>21.75</v>
      </c>
      <c r="CF50" s="17">
        <v>11470</v>
      </c>
      <c r="CG50" s="12">
        <v>5.7999999999999901</v>
      </c>
      <c r="CH50" s="19" t="s">
        <v>340</v>
      </c>
      <c r="CI50" s="12">
        <v>15000</v>
      </c>
      <c r="CJ50" s="18">
        <f>+CI50/9.5</f>
        <v>1578.9473684210527</v>
      </c>
      <c r="CK50" s="18">
        <f>5.99+15.96</f>
        <v>21.950000000000003</v>
      </c>
      <c r="CL50" s="18">
        <f>+CJ50/18</f>
        <v>87.719298245614041</v>
      </c>
      <c r="CM50" s="12" t="s">
        <v>763</v>
      </c>
      <c r="CN50" s="12" t="s">
        <v>501</v>
      </c>
      <c r="CO50" s="19" t="s">
        <v>340</v>
      </c>
      <c r="CP50" s="12">
        <v>0</v>
      </c>
      <c r="CQ50" s="12">
        <v>0</v>
      </c>
      <c r="CR50" s="12">
        <v>0</v>
      </c>
      <c r="CS50" s="12">
        <v>0</v>
      </c>
      <c r="CT50" s="12">
        <v>0</v>
      </c>
      <c r="CU50" s="12" t="s">
        <v>486</v>
      </c>
      <c r="CV50" s="12" t="s">
        <v>488</v>
      </c>
      <c r="CW50" s="12">
        <v>9814145577</v>
      </c>
      <c r="CX50" s="12" t="s">
        <v>764</v>
      </c>
      <c r="CY50" s="12" t="s">
        <v>289</v>
      </c>
      <c r="CZ50" s="12">
        <v>1018</v>
      </c>
      <c r="DA50" s="12">
        <v>0</v>
      </c>
      <c r="DB50" s="12" t="s">
        <v>1013</v>
      </c>
      <c r="DC50" s="12">
        <v>147</v>
      </c>
      <c r="DD50" s="12">
        <v>57</v>
      </c>
      <c r="DE50" s="12">
        <v>57000</v>
      </c>
      <c r="DF50" s="21" t="str">
        <f t="shared" si="30"/>
        <v>Photos\New\ANAND.pptx</v>
      </c>
      <c r="DG50" s="21" t="str">
        <f t="shared" si="31"/>
        <v>Videos\New\ANAND</v>
      </c>
      <c r="DH50" s="21" t="str">
        <f t="shared" si="32"/>
        <v>Manpower\ANAND.pptx</v>
      </c>
    </row>
    <row r="51" spans="1:112" ht="15.75" customHeight="1" x14ac:dyDescent="0.35">
      <c r="A51" s="24" t="s">
        <v>485</v>
      </c>
      <c r="B51" s="12" t="s">
        <v>509</v>
      </c>
      <c r="C51" s="12">
        <v>0</v>
      </c>
      <c r="D51" s="12">
        <v>0</v>
      </c>
      <c r="E51" s="12" t="s">
        <v>765</v>
      </c>
      <c r="F51" s="12">
        <v>0</v>
      </c>
      <c r="G51" s="12">
        <v>0</v>
      </c>
      <c r="H51" s="28" t="s">
        <v>104</v>
      </c>
      <c r="I51" s="28">
        <v>1.5</v>
      </c>
      <c r="J51" s="28">
        <v>14</v>
      </c>
      <c r="K51" s="28">
        <v>1</v>
      </c>
      <c r="L51" s="12" t="s">
        <v>509</v>
      </c>
      <c r="M51" s="12">
        <v>9414541670</v>
      </c>
      <c r="N51" s="12" t="s">
        <v>1014</v>
      </c>
      <c r="O51" s="12" t="s">
        <v>708</v>
      </c>
      <c r="P51" s="12">
        <v>0</v>
      </c>
      <c r="Q51" s="12">
        <v>0</v>
      </c>
      <c r="R51" s="12">
        <v>0</v>
      </c>
      <c r="S51" s="12">
        <v>0</v>
      </c>
      <c r="T51" s="12">
        <v>0</v>
      </c>
      <c r="U51" s="12">
        <v>0</v>
      </c>
      <c r="V51" s="12">
        <v>0</v>
      </c>
      <c r="W51" s="12">
        <v>0</v>
      </c>
      <c r="X51" s="12">
        <v>0</v>
      </c>
      <c r="Y51" s="12">
        <v>0</v>
      </c>
      <c r="Z51" s="12">
        <v>0</v>
      </c>
      <c r="AA51" s="12">
        <v>0</v>
      </c>
      <c r="AB51" s="12">
        <v>0</v>
      </c>
      <c r="AC51" s="12">
        <v>0</v>
      </c>
      <c r="AD51" s="12">
        <v>0</v>
      </c>
      <c r="AE51" s="12">
        <v>0</v>
      </c>
      <c r="AF51" s="12" t="s">
        <v>112</v>
      </c>
      <c r="AG51" s="12">
        <v>0</v>
      </c>
      <c r="AH51" s="12">
        <v>0</v>
      </c>
      <c r="AI51" s="12">
        <v>0</v>
      </c>
      <c r="AJ51" s="12">
        <v>0</v>
      </c>
      <c r="AK51" s="12">
        <v>0</v>
      </c>
      <c r="AL51" s="12">
        <f>SUM(AI50:AK50)</f>
        <v>0</v>
      </c>
      <c r="AM51" s="22">
        <v>5000</v>
      </c>
      <c r="AN51" s="22" t="s">
        <v>112</v>
      </c>
      <c r="AO51" s="22">
        <v>0</v>
      </c>
      <c r="AP51" s="22">
        <v>0</v>
      </c>
      <c r="AQ51" s="16">
        <v>21.25</v>
      </c>
      <c r="AR51" s="16">
        <v>1525</v>
      </c>
      <c r="AS51" s="12">
        <v>0</v>
      </c>
      <c r="AT51" s="12">
        <v>0</v>
      </c>
      <c r="AU51" s="12">
        <v>0</v>
      </c>
      <c r="AV51" s="12">
        <v>0</v>
      </c>
      <c r="AW51" s="12">
        <v>0</v>
      </c>
      <c r="AX51" s="12">
        <v>0</v>
      </c>
      <c r="AY51" s="12">
        <v>0</v>
      </c>
      <c r="AZ51" s="12">
        <v>0</v>
      </c>
      <c r="BA51" s="12">
        <v>0</v>
      </c>
      <c r="BB51" s="12">
        <v>0</v>
      </c>
      <c r="BC51" s="13">
        <f>SUM(AM50,AS50,AX50)</f>
        <v>10645</v>
      </c>
      <c r="BD51" s="13">
        <f>SUM(AN50,AT50,AY50)</f>
        <v>1500</v>
      </c>
      <c r="BE51" s="13">
        <f>SUM(AO50,AU50,AZ50)</f>
        <v>1600</v>
      </c>
      <c r="BF51" s="22">
        <f>SUM(AP50,AV50,BA50)</f>
        <v>150</v>
      </c>
      <c r="BG51" s="16">
        <f>(AS50*AW50+AX50*BB50+AQ50*AM50)/BC50</f>
        <v>21</v>
      </c>
      <c r="BH51" s="16">
        <f>+AR50</f>
        <v>1500</v>
      </c>
      <c r="BI51" s="12" t="s">
        <v>509</v>
      </c>
      <c r="BJ51" s="12" t="s">
        <v>765</v>
      </c>
      <c r="BK51" s="12" t="s">
        <v>509</v>
      </c>
      <c r="BL51" s="12">
        <v>9414541670</v>
      </c>
      <c r="BM51" s="12" t="s">
        <v>1014</v>
      </c>
      <c r="BN51" s="12" t="s">
        <v>708</v>
      </c>
      <c r="BO51" s="12" t="s">
        <v>112</v>
      </c>
      <c r="BP51" s="12">
        <v>0</v>
      </c>
      <c r="BQ51" s="51">
        <v>500</v>
      </c>
      <c r="BR51" s="22">
        <v>500</v>
      </c>
      <c r="BS51" s="15">
        <v>19</v>
      </c>
      <c r="BT51" s="17">
        <v>1300</v>
      </c>
      <c r="BU51" s="12" t="s">
        <v>510</v>
      </c>
      <c r="BV51" s="12" t="s">
        <v>766</v>
      </c>
      <c r="BW51" s="12" t="s">
        <v>511</v>
      </c>
      <c r="BX51" s="12">
        <v>9415555555</v>
      </c>
      <c r="BY51" s="12" t="s">
        <v>966</v>
      </c>
      <c r="BZ51" s="12" t="s">
        <v>767</v>
      </c>
      <c r="CA51" s="12" t="s">
        <v>112</v>
      </c>
      <c r="CB51" s="12">
        <v>0</v>
      </c>
      <c r="CC51" s="12">
        <v>10560</v>
      </c>
      <c r="CD51" s="12">
        <v>10560</v>
      </c>
      <c r="CE51" s="18">
        <v>22</v>
      </c>
      <c r="CF51" s="17">
        <v>11480</v>
      </c>
      <c r="CG51" s="18">
        <v>5.8999999999999897</v>
      </c>
      <c r="CH51" s="19" t="s">
        <v>340</v>
      </c>
      <c r="CI51" s="12">
        <v>0</v>
      </c>
      <c r="CJ51" s="12">
        <v>0</v>
      </c>
      <c r="CK51" s="12" t="s">
        <v>142</v>
      </c>
      <c r="CL51" s="12">
        <v>0</v>
      </c>
      <c r="CM51" s="12" t="s">
        <v>142</v>
      </c>
      <c r="CN51" s="12" t="s">
        <v>142</v>
      </c>
      <c r="CO51" s="19" t="s">
        <v>340</v>
      </c>
      <c r="CP51" s="12">
        <v>0</v>
      </c>
      <c r="CQ51" s="12">
        <v>0</v>
      </c>
      <c r="CR51" s="12">
        <v>0</v>
      </c>
      <c r="CS51" s="12">
        <v>0</v>
      </c>
      <c r="CT51" s="12">
        <v>0</v>
      </c>
      <c r="CU51" s="12" t="s">
        <v>180</v>
      </c>
      <c r="CV51" s="12" t="s">
        <v>492</v>
      </c>
      <c r="CW51" s="12">
        <v>9967969990</v>
      </c>
      <c r="CX51" s="12" t="s">
        <v>1015</v>
      </c>
      <c r="CY51" s="12" t="s">
        <v>493</v>
      </c>
      <c r="CZ51" s="12">
        <v>1014</v>
      </c>
      <c r="DA51" s="12" t="s">
        <v>58</v>
      </c>
      <c r="DB51" s="12" t="s">
        <v>1016</v>
      </c>
      <c r="DC51" s="12">
        <v>148</v>
      </c>
      <c r="DD51" s="12">
        <v>58</v>
      </c>
      <c r="DE51" s="12">
        <v>58000</v>
      </c>
      <c r="DF51" s="21" t="str">
        <f>"Photos\New\"&amp;$A50&amp;".pptx"</f>
        <v>Photos\New\ANAND.pptx</v>
      </c>
      <c r="DG51" s="21" t="str">
        <f>"Videos\New\"&amp;$A50</f>
        <v>Videos\New\ANAND</v>
      </c>
      <c r="DH51" s="21" t="str">
        <f>"Manpower\"&amp;$A50&amp;".pptx"</f>
        <v>Manpower\ANAND.pptx</v>
      </c>
    </row>
    <row r="52" spans="1:112" ht="15.75" customHeight="1" x14ac:dyDescent="0.35">
      <c r="A52" s="24" t="s">
        <v>520</v>
      </c>
      <c r="B52" s="12" t="s">
        <v>566</v>
      </c>
      <c r="C52" s="12" t="s">
        <v>567</v>
      </c>
      <c r="D52" s="12">
        <v>0</v>
      </c>
      <c r="E52" s="12" t="s">
        <v>1017</v>
      </c>
      <c r="F52" s="12" t="s">
        <v>1017</v>
      </c>
      <c r="G52" s="12">
        <v>0</v>
      </c>
      <c r="H52" s="28" t="s">
        <v>291</v>
      </c>
      <c r="I52" s="28">
        <v>5</v>
      </c>
      <c r="J52" s="28">
        <v>10</v>
      </c>
      <c r="K52" s="28">
        <v>1</v>
      </c>
      <c r="L52" s="12" t="s">
        <v>524</v>
      </c>
      <c r="M52" s="12">
        <v>9999151519</v>
      </c>
      <c r="N52" s="12" t="s">
        <v>1018</v>
      </c>
      <c r="O52" s="12" t="s">
        <v>768</v>
      </c>
      <c r="P52" s="28" t="s">
        <v>291</v>
      </c>
      <c r="Q52" s="28">
        <v>5</v>
      </c>
      <c r="R52" s="28">
        <v>10</v>
      </c>
      <c r="S52" s="28">
        <v>1</v>
      </c>
      <c r="T52" s="12" t="s">
        <v>568</v>
      </c>
      <c r="U52" s="12">
        <v>9810501548</v>
      </c>
      <c r="V52" s="12" t="s">
        <v>1019</v>
      </c>
      <c r="W52" s="12" t="s">
        <v>768</v>
      </c>
      <c r="X52" s="28">
        <v>0</v>
      </c>
      <c r="Y52" s="28">
        <v>0</v>
      </c>
      <c r="Z52" s="28">
        <v>0</v>
      </c>
      <c r="AA52" s="28">
        <v>0</v>
      </c>
      <c r="AB52" s="28">
        <v>0</v>
      </c>
      <c r="AC52" s="28">
        <v>0</v>
      </c>
      <c r="AD52" s="28">
        <v>0</v>
      </c>
      <c r="AE52" s="28">
        <v>0</v>
      </c>
      <c r="AF52" s="12" t="s">
        <v>1090</v>
      </c>
      <c r="AG52" s="12" t="s">
        <v>1090</v>
      </c>
      <c r="AH52" s="28">
        <v>0</v>
      </c>
      <c r="AI52" s="12">
        <v>4.5</v>
      </c>
      <c r="AJ52" s="12">
        <v>4.5</v>
      </c>
      <c r="AK52" s="12">
        <v>0</v>
      </c>
      <c r="AL52" s="12">
        <f>SUM(AI54:AK54)</f>
        <v>0</v>
      </c>
      <c r="AM52" s="22">
        <v>10151</v>
      </c>
      <c r="AN52" s="22" t="s">
        <v>112</v>
      </c>
      <c r="AO52" s="22">
        <v>0</v>
      </c>
      <c r="AP52" s="22">
        <v>0</v>
      </c>
      <c r="AQ52" s="16">
        <v>21.5</v>
      </c>
      <c r="AR52" s="16">
        <v>1550</v>
      </c>
      <c r="AS52" s="22">
        <v>101581</v>
      </c>
      <c r="AT52" s="22">
        <v>0</v>
      </c>
      <c r="AU52" s="22">
        <v>0</v>
      </c>
      <c r="AV52" s="22">
        <v>0</v>
      </c>
      <c r="AW52" s="16">
        <v>14</v>
      </c>
      <c r="AX52" s="22">
        <v>0</v>
      </c>
      <c r="AY52" s="22">
        <v>0</v>
      </c>
      <c r="AZ52" s="22">
        <v>0</v>
      </c>
      <c r="BA52" s="22">
        <v>0</v>
      </c>
      <c r="BB52" s="16">
        <v>0</v>
      </c>
      <c r="BC52" s="25">
        <f>SUM(AM54,AS54,AX54)</f>
        <v>11000</v>
      </c>
      <c r="BD52" s="25">
        <f>SUM(AN54,AT54,AY54)</f>
        <v>0</v>
      </c>
      <c r="BE52" s="25">
        <f>SUM(AO54,AU54,AZ54)</f>
        <v>0</v>
      </c>
      <c r="BF52" s="25">
        <f>SUM(AP54,AV54,BA54)</f>
        <v>0</v>
      </c>
      <c r="BG52" s="16">
        <f>(AS54*AW54+AX54*BB54+AQ54*AM54)/BC54</f>
        <v>22</v>
      </c>
      <c r="BH52" s="16">
        <f>+AR54</f>
        <v>1600</v>
      </c>
      <c r="BI52" s="12" t="s">
        <v>525</v>
      </c>
      <c r="BJ52" s="12" t="s">
        <v>1020</v>
      </c>
      <c r="BK52" s="12" t="s">
        <v>569</v>
      </c>
      <c r="BL52" s="12">
        <v>9810567571</v>
      </c>
      <c r="BM52" s="12" t="s">
        <v>1018</v>
      </c>
      <c r="BN52" s="12" t="s">
        <v>768</v>
      </c>
      <c r="BO52" s="12" t="s">
        <v>1094</v>
      </c>
      <c r="BP52" s="12">
        <v>8.81</v>
      </c>
      <c r="BQ52" s="51">
        <v>7000</v>
      </c>
      <c r="BR52" s="22">
        <v>7000</v>
      </c>
      <c r="BS52" s="22">
        <v>19.25</v>
      </c>
      <c r="BT52" s="17">
        <v>1325</v>
      </c>
      <c r="BU52" s="12" t="s">
        <v>525</v>
      </c>
      <c r="BV52" s="12" t="s">
        <v>1020</v>
      </c>
      <c r="BW52" s="12" t="s">
        <v>526</v>
      </c>
      <c r="BX52" s="12">
        <v>9875411115</v>
      </c>
      <c r="BY52" s="12" t="s">
        <v>1021</v>
      </c>
      <c r="BZ52" s="12" t="s">
        <v>769</v>
      </c>
      <c r="CA52" s="12" t="s">
        <v>1094</v>
      </c>
      <c r="CB52" s="12">
        <v>8.85</v>
      </c>
      <c r="CC52" s="12">
        <v>10000</v>
      </c>
      <c r="CD52" s="12">
        <v>10000</v>
      </c>
      <c r="CE52" s="18">
        <v>22.25</v>
      </c>
      <c r="CF52" s="12">
        <v>11490</v>
      </c>
      <c r="CG52" s="18">
        <v>5.9999999999999902</v>
      </c>
      <c r="CH52" s="19" t="s">
        <v>340</v>
      </c>
      <c r="CI52" s="12">
        <v>0</v>
      </c>
      <c r="CJ52" s="12">
        <v>0</v>
      </c>
      <c r="CK52" s="12" t="s">
        <v>142</v>
      </c>
      <c r="CL52" s="12">
        <v>0</v>
      </c>
      <c r="CM52" s="12" t="s">
        <v>142</v>
      </c>
      <c r="CN52" s="12" t="s">
        <v>142</v>
      </c>
      <c r="CO52" s="19" t="s">
        <v>340</v>
      </c>
      <c r="CP52" s="12">
        <v>0</v>
      </c>
      <c r="CQ52" s="12">
        <v>0</v>
      </c>
      <c r="CR52" s="12">
        <v>0</v>
      </c>
      <c r="CS52" s="12">
        <v>0</v>
      </c>
      <c r="CT52" s="12">
        <v>0</v>
      </c>
      <c r="CU52" s="12" t="s">
        <v>525</v>
      </c>
      <c r="CV52" s="12" t="s">
        <v>605</v>
      </c>
      <c r="CW52" s="12">
        <v>9410455919</v>
      </c>
      <c r="CX52" s="12" t="s">
        <v>1022</v>
      </c>
      <c r="CY52" s="12" t="s">
        <v>606</v>
      </c>
      <c r="CZ52" s="12">
        <f>1019-5</f>
        <v>1014</v>
      </c>
      <c r="DA52" s="12">
        <v>0</v>
      </c>
      <c r="DB52" s="12" t="s">
        <v>816</v>
      </c>
      <c r="DC52" s="12">
        <v>149</v>
      </c>
      <c r="DD52" s="12">
        <v>59</v>
      </c>
      <c r="DE52" s="12">
        <v>59000</v>
      </c>
      <c r="DF52" s="21" t="str">
        <f>"Photos\New\"&amp;$A54&amp;".pptx"</f>
        <v>Photos\New\SRINAGAR.pptx</v>
      </c>
      <c r="DG52" s="21" t="str">
        <f>"Videos\New\"&amp;$A54</f>
        <v>Videos\New\SRINAGAR</v>
      </c>
      <c r="DH52" s="21" t="str">
        <f>"Manpower\"&amp;$A54&amp;".pptx"</f>
        <v>Manpower\SRINAGAR.pptx</v>
      </c>
    </row>
    <row r="53" spans="1:112" ht="15.75" customHeight="1" x14ac:dyDescent="0.35">
      <c r="A53" s="24" t="s">
        <v>512</v>
      </c>
      <c r="B53" s="12" t="s">
        <v>555</v>
      </c>
      <c r="C53" s="12" t="s">
        <v>605</v>
      </c>
      <c r="D53" s="12">
        <v>0</v>
      </c>
      <c r="E53" s="12" t="s">
        <v>770</v>
      </c>
      <c r="F53" s="12" t="s">
        <v>771</v>
      </c>
      <c r="G53" s="12">
        <v>0</v>
      </c>
      <c r="H53" s="28" t="s">
        <v>170</v>
      </c>
      <c r="I53" s="28">
        <v>1</v>
      </c>
      <c r="J53" s="28">
        <v>10</v>
      </c>
      <c r="K53" s="28">
        <v>1</v>
      </c>
      <c r="L53" s="12" t="s">
        <v>556</v>
      </c>
      <c r="M53" s="12">
        <v>9818687811</v>
      </c>
      <c r="N53" s="12" t="s">
        <v>1023</v>
      </c>
      <c r="O53" s="12" t="s">
        <v>896</v>
      </c>
      <c r="P53" s="12" t="s">
        <v>675</v>
      </c>
      <c r="Q53" s="12">
        <v>5</v>
      </c>
      <c r="R53" s="12">
        <v>11</v>
      </c>
      <c r="S53" s="12">
        <v>7</v>
      </c>
      <c r="T53" s="12" t="s">
        <v>605</v>
      </c>
      <c r="U53" s="12" t="s">
        <v>1024</v>
      </c>
      <c r="V53" s="12" t="s">
        <v>1025</v>
      </c>
      <c r="W53" s="12" t="s">
        <v>772</v>
      </c>
      <c r="X53" s="12">
        <v>0</v>
      </c>
      <c r="Y53" s="12">
        <v>0</v>
      </c>
      <c r="Z53" s="12">
        <v>0</v>
      </c>
      <c r="AA53" s="12">
        <v>0</v>
      </c>
      <c r="AB53" s="12">
        <v>0</v>
      </c>
      <c r="AC53" s="12">
        <v>0</v>
      </c>
      <c r="AD53" s="12">
        <v>0</v>
      </c>
      <c r="AE53" s="12">
        <v>0</v>
      </c>
      <c r="AF53" s="12" t="s">
        <v>1083</v>
      </c>
      <c r="AG53" s="12" t="s">
        <v>1083</v>
      </c>
      <c r="AH53" s="12">
        <v>0</v>
      </c>
      <c r="AI53" s="12">
        <v>1.1000000000000001</v>
      </c>
      <c r="AJ53" s="18">
        <v>5.5954100000000002</v>
      </c>
      <c r="AK53" s="12">
        <v>0</v>
      </c>
      <c r="AL53" s="12">
        <f t="shared" si="27"/>
        <v>6.6954100000000007</v>
      </c>
      <c r="AM53" s="22">
        <v>9600</v>
      </c>
      <c r="AN53" s="22">
        <v>0</v>
      </c>
      <c r="AO53" s="22">
        <v>0</v>
      </c>
      <c r="AP53" s="22">
        <v>0</v>
      </c>
      <c r="AQ53" s="16">
        <v>21.75</v>
      </c>
      <c r="AR53" s="16">
        <v>1575</v>
      </c>
      <c r="AS53" s="12">
        <v>11598</v>
      </c>
      <c r="AT53" s="12">
        <v>0</v>
      </c>
      <c r="AU53" s="12">
        <v>0</v>
      </c>
      <c r="AV53" s="12">
        <v>0</v>
      </c>
      <c r="AW53" s="12">
        <v>14.5</v>
      </c>
      <c r="AX53" s="12">
        <v>0</v>
      </c>
      <c r="AY53" s="12">
        <v>0</v>
      </c>
      <c r="AZ53" s="12">
        <v>0</v>
      </c>
      <c r="BA53" s="12">
        <v>0</v>
      </c>
      <c r="BB53" s="12">
        <v>0</v>
      </c>
      <c r="BC53" s="13">
        <f t="shared" si="33"/>
        <v>21198</v>
      </c>
      <c r="BD53" s="13">
        <f t="shared" si="34"/>
        <v>0</v>
      </c>
      <c r="BE53" s="13">
        <f t="shared" si="35"/>
        <v>0</v>
      </c>
      <c r="BF53" s="22">
        <f t="shared" si="36"/>
        <v>0</v>
      </c>
      <c r="BG53" s="16">
        <f t="shared" si="28"/>
        <v>17.783328615907163</v>
      </c>
      <c r="BH53" s="16">
        <f t="shared" si="29"/>
        <v>1575</v>
      </c>
      <c r="BI53" s="12" t="s">
        <v>553</v>
      </c>
      <c r="BJ53" s="12" t="s">
        <v>1026</v>
      </c>
      <c r="BK53" s="12" t="s">
        <v>554</v>
      </c>
      <c r="BL53" s="12">
        <v>9811041501</v>
      </c>
      <c r="BM53" s="12" t="s">
        <v>1027</v>
      </c>
      <c r="BN53" s="12" t="s">
        <v>712</v>
      </c>
      <c r="BO53" s="12" t="s">
        <v>1085</v>
      </c>
      <c r="BP53" s="12">
        <v>0</v>
      </c>
      <c r="BQ53" s="51">
        <v>6000</v>
      </c>
      <c r="BR53" s="22">
        <v>6000</v>
      </c>
      <c r="BS53" s="22">
        <v>19.5</v>
      </c>
      <c r="BT53" s="17">
        <v>1350</v>
      </c>
      <c r="BU53" s="12" t="s">
        <v>640</v>
      </c>
      <c r="BV53" s="12" t="s">
        <v>641</v>
      </c>
      <c r="BW53" s="12" t="s">
        <v>642</v>
      </c>
      <c r="BX53" s="12">
        <v>9810065085</v>
      </c>
      <c r="BY53" s="12" t="s">
        <v>1028</v>
      </c>
      <c r="BZ53" s="12" t="s">
        <v>696</v>
      </c>
      <c r="CA53" s="12">
        <v>0</v>
      </c>
      <c r="CB53" s="12">
        <v>0</v>
      </c>
      <c r="CC53" s="12">
        <v>5855</v>
      </c>
      <c r="CD53" s="12">
        <v>5855</v>
      </c>
      <c r="CE53" s="18">
        <v>22.5</v>
      </c>
      <c r="CF53" s="17">
        <v>11500</v>
      </c>
      <c r="CG53" s="12">
        <v>6.0999999999999899</v>
      </c>
      <c r="CH53" s="19" t="s">
        <v>340</v>
      </c>
      <c r="CI53" s="12">
        <v>0</v>
      </c>
      <c r="CJ53" s="12">
        <v>0</v>
      </c>
      <c r="CK53" s="12" t="s">
        <v>142</v>
      </c>
      <c r="CL53" s="12">
        <v>0</v>
      </c>
      <c r="CM53" s="12" t="s">
        <v>142</v>
      </c>
      <c r="CN53" s="12" t="s">
        <v>142</v>
      </c>
      <c r="CO53" s="19" t="s">
        <v>340</v>
      </c>
      <c r="CP53" s="12">
        <v>0</v>
      </c>
      <c r="CQ53" s="12">
        <v>0</v>
      </c>
      <c r="CR53" s="12">
        <v>0</v>
      </c>
      <c r="CS53" s="12">
        <v>0</v>
      </c>
      <c r="CT53" s="12">
        <v>0</v>
      </c>
      <c r="CU53" s="12" t="s">
        <v>591</v>
      </c>
      <c r="CV53" s="12" t="s">
        <v>592</v>
      </c>
      <c r="CW53" s="12">
        <v>9871411115</v>
      </c>
      <c r="CX53" s="12" t="s">
        <v>1029</v>
      </c>
      <c r="CY53" s="12" t="s">
        <v>593</v>
      </c>
      <c r="CZ53" s="12">
        <f>1019-54</f>
        <v>965</v>
      </c>
      <c r="DA53" s="12" t="s">
        <v>340</v>
      </c>
      <c r="DB53" s="12" t="s">
        <v>1030</v>
      </c>
      <c r="DC53" s="12">
        <v>150</v>
      </c>
      <c r="DD53" s="12">
        <v>60</v>
      </c>
      <c r="DE53" s="12">
        <v>60000</v>
      </c>
      <c r="DF53" s="21" t="str">
        <f t="shared" si="30"/>
        <v>Photos\New\NORTH DELHI.pptx</v>
      </c>
      <c r="DG53" s="21" t="str">
        <f t="shared" si="31"/>
        <v>Videos\New\NORTH DELHI</v>
      </c>
      <c r="DH53" s="21" t="str">
        <f t="shared" si="32"/>
        <v>Manpower\NORTH DELHI.pptx</v>
      </c>
    </row>
    <row r="54" spans="1:112" ht="15.75" customHeight="1" x14ac:dyDescent="0.35">
      <c r="A54" s="24" t="s">
        <v>518</v>
      </c>
      <c r="B54" s="12" t="s">
        <v>547</v>
      </c>
      <c r="C54" s="12">
        <v>0</v>
      </c>
      <c r="D54" s="12">
        <v>0</v>
      </c>
      <c r="E54" s="12" t="s">
        <v>548</v>
      </c>
      <c r="F54" s="12">
        <v>0</v>
      </c>
      <c r="G54" s="12">
        <v>0</v>
      </c>
      <c r="H54" s="28" t="s">
        <v>104</v>
      </c>
      <c r="I54" s="28">
        <v>1</v>
      </c>
      <c r="J54" s="28">
        <v>11</v>
      </c>
      <c r="K54" s="28">
        <v>15</v>
      </c>
      <c r="L54" s="12" t="s">
        <v>549</v>
      </c>
      <c r="M54" s="12">
        <v>9906990786</v>
      </c>
      <c r="N54" s="12" t="s">
        <v>1031</v>
      </c>
      <c r="O54" s="12" t="s">
        <v>686</v>
      </c>
      <c r="P54" s="12">
        <v>0</v>
      </c>
      <c r="Q54" s="12">
        <v>0</v>
      </c>
      <c r="R54" s="12">
        <v>0</v>
      </c>
      <c r="S54" s="12">
        <v>0</v>
      </c>
      <c r="T54" s="12">
        <v>0</v>
      </c>
      <c r="U54" s="12">
        <v>0</v>
      </c>
      <c r="V54" s="12">
        <v>0</v>
      </c>
      <c r="W54" s="12">
        <v>0</v>
      </c>
      <c r="X54" s="12">
        <v>0</v>
      </c>
      <c r="Y54" s="12">
        <v>0</v>
      </c>
      <c r="Z54" s="12">
        <v>0</v>
      </c>
      <c r="AA54" s="12">
        <v>0</v>
      </c>
      <c r="AB54" s="12">
        <v>0</v>
      </c>
      <c r="AC54" s="12">
        <v>0</v>
      </c>
      <c r="AD54" s="12">
        <v>0</v>
      </c>
      <c r="AE54" s="12">
        <v>0</v>
      </c>
      <c r="AF54" s="12" t="s">
        <v>112</v>
      </c>
      <c r="AG54" s="12">
        <v>0</v>
      </c>
      <c r="AH54" s="12">
        <v>0</v>
      </c>
      <c r="AI54" s="12">
        <v>0</v>
      </c>
      <c r="AJ54" s="12">
        <v>0</v>
      </c>
      <c r="AK54" s="12">
        <v>0</v>
      </c>
      <c r="AL54" s="12">
        <f t="shared" si="27"/>
        <v>0</v>
      </c>
      <c r="AM54" s="22">
        <v>11000</v>
      </c>
      <c r="AN54" s="22">
        <v>0</v>
      </c>
      <c r="AO54" s="22">
        <v>0</v>
      </c>
      <c r="AP54" s="22">
        <v>0</v>
      </c>
      <c r="AQ54" s="16">
        <v>22</v>
      </c>
      <c r="AR54" s="16">
        <v>1600</v>
      </c>
      <c r="AS54" s="12">
        <v>0</v>
      </c>
      <c r="AT54" s="12">
        <v>0</v>
      </c>
      <c r="AU54" s="12">
        <v>0</v>
      </c>
      <c r="AV54" s="12">
        <v>0</v>
      </c>
      <c r="AW54" s="12">
        <v>0</v>
      </c>
      <c r="AX54" s="12">
        <v>0</v>
      </c>
      <c r="AY54" s="12">
        <v>0</v>
      </c>
      <c r="AZ54" s="12">
        <v>0</v>
      </c>
      <c r="BA54" s="12">
        <v>0</v>
      </c>
      <c r="BB54" s="12">
        <v>0</v>
      </c>
      <c r="BC54" s="13">
        <f t="shared" si="33"/>
        <v>11000</v>
      </c>
      <c r="BD54" s="13">
        <f t="shared" si="34"/>
        <v>0</v>
      </c>
      <c r="BE54" s="13">
        <f t="shared" si="35"/>
        <v>0</v>
      </c>
      <c r="BF54" s="22">
        <f t="shared" si="36"/>
        <v>0</v>
      </c>
      <c r="BG54" s="16">
        <f t="shared" si="28"/>
        <v>22</v>
      </c>
      <c r="BH54" s="16">
        <f t="shared" si="29"/>
        <v>1600</v>
      </c>
      <c r="BI54" s="59" t="s">
        <v>631</v>
      </c>
      <c r="BJ54" s="12" t="s">
        <v>632</v>
      </c>
      <c r="BK54" s="12" t="s">
        <v>633</v>
      </c>
      <c r="BL54" s="12">
        <v>9906548111</v>
      </c>
      <c r="BM54" s="12" t="s">
        <v>1032</v>
      </c>
      <c r="BN54" s="12" t="s">
        <v>696</v>
      </c>
      <c r="BO54" s="12" t="s">
        <v>1094</v>
      </c>
      <c r="BP54" s="12">
        <v>0</v>
      </c>
      <c r="BQ54" s="51">
        <v>5000</v>
      </c>
      <c r="BR54" s="22">
        <v>5000</v>
      </c>
      <c r="BS54" s="22">
        <v>19.75</v>
      </c>
      <c r="BT54" s="17">
        <v>1375</v>
      </c>
      <c r="BU54" s="59" t="s">
        <v>631</v>
      </c>
      <c r="BV54" s="60" t="s">
        <v>1033</v>
      </c>
      <c r="BW54" s="12" t="s">
        <v>633</v>
      </c>
      <c r="BX54" s="12">
        <v>9906548111</v>
      </c>
      <c r="BY54" s="12" t="s">
        <v>1034</v>
      </c>
      <c r="BZ54" s="12" t="s">
        <v>742</v>
      </c>
      <c r="CA54" s="12" t="s">
        <v>1094</v>
      </c>
      <c r="CB54" s="12">
        <v>0</v>
      </c>
      <c r="CC54" s="12">
        <v>555</v>
      </c>
      <c r="CD54" s="12">
        <v>555</v>
      </c>
      <c r="CE54" s="18">
        <v>22.75</v>
      </c>
      <c r="CF54" s="17">
        <v>11510</v>
      </c>
      <c r="CG54" s="18">
        <v>6.1999999999999904</v>
      </c>
      <c r="CH54" s="19" t="s">
        <v>340</v>
      </c>
      <c r="CI54" s="12">
        <v>0</v>
      </c>
      <c r="CJ54" s="12">
        <v>0</v>
      </c>
      <c r="CK54" s="12" t="s">
        <v>142</v>
      </c>
      <c r="CL54" s="12">
        <v>0</v>
      </c>
      <c r="CM54" s="12" t="s">
        <v>142</v>
      </c>
      <c r="CN54" s="12" t="s">
        <v>142</v>
      </c>
      <c r="CO54" s="19" t="s">
        <v>340</v>
      </c>
      <c r="CP54" s="12">
        <v>0</v>
      </c>
      <c r="CQ54" s="12">
        <v>0</v>
      </c>
      <c r="CR54" s="12">
        <v>0</v>
      </c>
      <c r="CS54" s="12">
        <v>0</v>
      </c>
      <c r="CT54" s="12">
        <v>0</v>
      </c>
      <c r="CU54" s="12" t="s">
        <v>547</v>
      </c>
      <c r="CV54" s="12" t="s">
        <v>549</v>
      </c>
      <c r="CW54" s="12">
        <v>9906990786</v>
      </c>
      <c r="CX54" s="12" t="s">
        <v>548</v>
      </c>
      <c r="CY54" s="12" t="s">
        <v>550</v>
      </c>
      <c r="CZ54" s="12">
        <v>1017</v>
      </c>
      <c r="DA54" s="12">
        <v>0</v>
      </c>
      <c r="DB54" s="12" t="s">
        <v>1031</v>
      </c>
      <c r="DC54" s="12">
        <v>151</v>
      </c>
      <c r="DD54" s="12">
        <v>61</v>
      </c>
      <c r="DE54" s="12">
        <v>61000</v>
      </c>
      <c r="DF54" s="21" t="str">
        <f t="shared" si="30"/>
        <v>Photos\New\SRINAGAR.pptx</v>
      </c>
      <c r="DG54" s="21" t="str">
        <f t="shared" si="31"/>
        <v>Videos\New\SRINAGAR</v>
      </c>
      <c r="DH54" s="21" t="str">
        <f t="shared" si="32"/>
        <v>Manpower\SRINAGAR.pptx</v>
      </c>
    </row>
    <row r="55" spans="1:112" ht="15.75" customHeight="1" x14ac:dyDescent="0.35">
      <c r="A55" s="24" t="s">
        <v>514</v>
      </c>
      <c r="B55" s="12" t="s">
        <v>529</v>
      </c>
      <c r="C55" s="12">
        <v>0</v>
      </c>
      <c r="D55" s="12">
        <v>0</v>
      </c>
      <c r="E55" s="12" t="s">
        <v>1035</v>
      </c>
      <c r="F55" s="12">
        <v>0</v>
      </c>
      <c r="G55" s="12">
        <v>0</v>
      </c>
      <c r="H55" s="28" t="s">
        <v>530</v>
      </c>
      <c r="I55" s="28">
        <v>5</v>
      </c>
      <c r="J55" s="28">
        <v>10</v>
      </c>
      <c r="K55" s="28">
        <v>8</v>
      </c>
      <c r="L55" s="12" t="s">
        <v>531</v>
      </c>
      <c r="M55" s="12">
        <v>9419188111</v>
      </c>
      <c r="N55" s="12" t="s">
        <v>773</v>
      </c>
      <c r="O55" s="12" t="s">
        <v>774</v>
      </c>
      <c r="P55" s="12">
        <v>0</v>
      </c>
      <c r="Q55" s="12">
        <v>0</v>
      </c>
      <c r="R55" s="12">
        <v>0</v>
      </c>
      <c r="S55" s="12">
        <v>0</v>
      </c>
      <c r="T55" s="12">
        <v>0</v>
      </c>
      <c r="U55" s="12">
        <v>0</v>
      </c>
      <c r="V55" s="12">
        <v>0</v>
      </c>
      <c r="W55" s="12">
        <v>0</v>
      </c>
      <c r="X55" s="12">
        <v>0</v>
      </c>
      <c r="Y55" s="12">
        <v>0</v>
      </c>
      <c r="Z55" s="12">
        <v>0</v>
      </c>
      <c r="AA55" s="12">
        <v>0</v>
      </c>
      <c r="AB55" s="12">
        <v>0</v>
      </c>
      <c r="AC55" s="12">
        <v>0</v>
      </c>
      <c r="AD55" s="12">
        <v>0</v>
      </c>
      <c r="AE55" s="12">
        <v>0</v>
      </c>
      <c r="AF55" s="12" t="s">
        <v>1083</v>
      </c>
      <c r="AG55" s="12">
        <v>0</v>
      </c>
      <c r="AH55" s="12">
        <v>0</v>
      </c>
      <c r="AI55" s="12">
        <v>0</v>
      </c>
      <c r="AJ55" s="12">
        <v>0</v>
      </c>
      <c r="AK55" s="12">
        <v>0</v>
      </c>
      <c r="AL55" s="12">
        <f t="shared" si="27"/>
        <v>0</v>
      </c>
      <c r="AM55" s="22">
        <v>14979</v>
      </c>
      <c r="AN55" s="22">
        <v>0</v>
      </c>
      <c r="AO55" s="22">
        <v>1081</v>
      </c>
      <c r="AP55" s="22">
        <v>0</v>
      </c>
      <c r="AQ55" s="16">
        <v>22.25</v>
      </c>
      <c r="AR55" s="16">
        <v>1625</v>
      </c>
      <c r="AS55" s="12">
        <v>0</v>
      </c>
      <c r="AT55" s="12">
        <v>0</v>
      </c>
      <c r="AU55" s="12">
        <v>0</v>
      </c>
      <c r="AV55" s="12">
        <v>0</v>
      </c>
      <c r="AW55" s="12">
        <v>0</v>
      </c>
      <c r="AX55" s="12">
        <v>0</v>
      </c>
      <c r="AY55" s="12">
        <v>0</v>
      </c>
      <c r="AZ55" s="12">
        <v>0</v>
      </c>
      <c r="BA55" s="12">
        <v>0</v>
      </c>
      <c r="BB55" s="12">
        <v>0</v>
      </c>
      <c r="BC55" s="13">
        <f t="shared" si="33"/>
        <v>14979</v>
      </c>
      <c r="BD55" s="13">
        <f t="shared" si="34"/>
        <v>0</v>
      </c>
      <c r="BE55" s="13">
        <f t="shared" si="35"/>
        <v>1081</v>
      </c>
      <c r="BF55" s="22">
        <f t="shared" si="36"/>
        <v>0</v>
      </c>
      <c r="BG55" s="16">
        <f t="shared" si="28"/>
        <v>22.25</v>
      </c>
      <c r="BH55" s="16">
        <f t="shared" si="29"/>
        <v>1625</v>
      </c>
      <c r="BI55" s="12" t="s">
        <v>529</v>
      </c>
      <c r="BJ55" s="12" t="s">
        <v>1035</v>
      </c>
      <c r="BK55" s="12" t="s">
        <v>531</v>
      </c>
      <c r="BL55" s="12">
        <v>9419188111</v>
      </c>
      <c r="BM55" s="12" t="s">
        <v>775</v>
      </c>
      <c r="BN55" s="12" t="s">
        <v>774</v>
      </c>
      <c r="BO55" s="12" t="s">
        <v>1085</v>
      </c>
      <c r="BP55" s="12">
        <v>0</v>
      </c>
      <c r="BQ55" s="51">
        <v>1000</v>
      </c>
      <c r="BR55" s="22">
        <v>1000</v>
      </c>
      <c r="BS55" s="15">
        <v>20</v>
      </c>
      <c r="BT55" s="17">
        <v>1400</v>
      </c>
      <c r="BU55" s="12" t="s">
        <v>340</v>
      </c>
      <c r="BV55" s="12" t="s">
        <v>340</v>
      </c>
      <c r="BW55" s="12" t="s">
        <v>340</v>
      </c>
      <c r="BX55" s="12" t="s">
        <v>340</v>
      </c>
      <c r="BY55" s="12" t="s">
        <v>340</v>
      </c>
      <c r="BZ55" s="12" t="s">
        <v>340</v>
      </c>
      <c r="CA55" s="12" t="s">
        <v>340</v>
      </c>
      <c r="CB55" s="12" t="s">
        <v>340</v>
      </c>
      <c r="CC55" s="12" t="s">
        <v>340</v>
      </c>
      <c r="CD55" s="12" t="s">
        <v>340</v>
      </c>
      <c r="CE55" s="18">
        <v>23</v>
      </c>
      <c r="CF55" s="17">
        <v>11520</v>
      </c>
      <c r="CG55" s="18">
        <v>6.2999999999999901</v>
      </c>
      <c r="CH55" s="19" t="s">
        <v>340</v>
      </c>
      <c r="CI55" s="12">
        <v>0</v>
      </c>
      <c r="CJ55" s="12">
        <v>0</v>
      </c>
      <c r="CK55" s="12" t="s">
        <v>142</v>
      </c>
      <c r="CL55" s="12">
        <v>0</v>
      </c>
      <c r="CM55" s="12" t="s">
        <v>142</v>
      </c>
      <c r="CN55" s="12" t="s">
        <v>142</v>
      </c>
      <c r="CO55" s="19" t="s">
        <v>340</v>
      </c>
      <c r="CP55" s="12">
        <v>7000</v>
      </c>
      <c r="CQ55" s="12">
        <f>+CP55/5.5*16</f>
        <v>20363.636363636364</v>
      </c>
      <c r="CR55" s="12">
        <v>11.6</v>
      </c>
      <c r="CS55" s="12">
        <v>1011</v>
      </c>
      <c r="CT55" s="12" t="s">
        <v>430</v>
      </c>
      <c r="CU55" s="12" t="s">
        <v>527</v>
      </c>
      <c r="CV55" s="12" t="s">
        <v>532</v>
      </c>
      <c r="CW55" s="12">
        <v>9906010005</v>
      </c>
      <c r="CX55" s="12" t="s">
        <v>528</v>
      </c>
      <c r="CY55" s="12" t="s">
        <v>142</v>
      </c>
      <c r="CZ55" s="12">
        <f>1017-10</f>
        <v>1007</v>
      </c>
      <c r="DA55" s="12" t="s">
        <v>142</v>
      </c>
      <c r="DB55" s="12" t="s">
        <v>952</v>
      </c>
      <c r="DC55" s="12">
        <v>152</v>
      </c>
      <c r="DD55" s="12">
        <v>62</v>
      </c>
      <c r="DE55" s="12">
        <v>62000</v>
      </c>
      <c r="DF55" s="21" t="str">
        <f t="shared" si="30"/>
        <v>Photos\New\JAMMU.pptx</v>
      </c>
      <c r="DG55" s="21" t="str">
        <f t="shared" si="31"/>
        <v>Videos\New\JAMMU</v>
      </c>
      <c r="DH55" s="21" t="str">
        <f t="shared" si="32"/>
        <v>Manpower\JAMMU.pptx</v>
      </c>
    </row>
    <row r="56" spans="1:112" ht="15.75" customHeight="1" x14ac:dyDescent="0.35">
      <c r="A56" s="24" t="s">
        <v>515</v>
      </c>
      <c r="B56" s="12" t="s">
        <v>551</v>
      </c>
      <c r="C56" s="12">
        <v>0</v>
      </c>
      <c r="D56" s="12">
        <v>0</v>
      </c>
      <c r="E56" s="12" t="s">
        <v>1036</v>
      </c>
      <c r="F56" s="12">
        <v>0</v>
      </c>
      <c r="G56" s="12">
        <v>0</v>
      </c>
      <c r="H56" s="28" t="s">
        <v>104</v>
      </c>
      <c r="I56" s="28">
        <v>0.5</v>
      </c>
      <c r="J56" s="28">
        <v>8</v>
      </c>
      <c r="K56" s="28">
        <v>5</v>
      </c>
      <c r="L56" s="12" t="s">
        <v>552</v>
      </c>
      <c r="M56" s="12">
        <v>9914100008</v>
      </c>
      <c r="N56" s="12" t="s">
        <v>1037</v>
      </c>
      <c r="O56" s="12" t="s">
        <v>1038</v>
      </c>
      <c r="P56" s="12">
        <v>0</v>
      </c>
      <c r="Q56" s="12">
        <v>0</v>
      </c>
      <c r="R56" s="12">
        <v>0</v>
      </c>
      <c r="S56" s="12">
        <v>0</v>
      </c>
      <c r="T56" s="12">
        <v>0</v>
      </c>
      <c r="U56" s="12">
        <v>0</v>
      </c>
      <c r="V56" s="12">
        <v>0</v>
      </c>
      <c r="W56" s="12">
        <v>0</v>
      </c>
      <c r="X56" s="12">
        <v>0</v>
      </c>
      <c r="Y56" s="12">
        <v>0</v>
      </c>
      <c r="Z56" s="12">
        <v>0</v>
      </c>
      <c r="AA56" s="12">
        <v>0</v>
      </c>
      <c r="AB56" s="12">
        <v>0</v>
      </c>
      <c r="AC56" s="12">
        <v>0</v>
      </c>
      <c r="AD56" s="12">
        <v>0</v>
      </c>
      <c r="AE56" s="12">
        <v>0</v>
      </c>
      <c r="AF56" s="12" t="s">
        <v>1083</v>
      </c>
      <c r="AG56" s="12">
        <v>0</v>
      </c>
      <c r="AH56" s="12">
        <v>0</v>
      </c>
      <c r="AI56" s="12">
        <v>0</v>
      </c>
      <c r="AJ56" s="12">
        <v>0</v>
      </c>
      <c r="AK56" s="12">
        <v>0</v>
      </c>
      <c r="AL56" s="12">
        <f t="shared" si="27"/>
        <v>0</v>
      </c>
      <c r="AM56" s="22">
        <v>6400</v>
      </c>
      <c r="AN56" s="22">
        <v>0</v>
      </c>
      <c r="AO56" s="22">
        <v>0</v>
      </c>
      <c r="AP56" s="22">
        <v>0</v>
      </c>
      <c r="AQ56" s="16">
        <v>22.5</v>
      </c>
      <c r="AR56" s="16">
        <v>1650</v>
      </c>
      <c r="AS56" s="12">
        <v>0</v>
      </c>
      <c r="AT56" s="12">
        <v>0</v>
      </c>
      <c r="AU56" s="12">
        <v>0</v>
      </c>
      <c r="AV56" s="12">
        <v>0</v>
      </c>
      <c r="AW56" s="12">
        <v>0</v>
      </c>
      <c r="AX56" s="12">
        <v>0</v>
      </c>
      <c r="AY56" s="12">
        <v>0</v>
      </c>
      <c r="AZ56" s="12">
        <v>0</v>
      </c>
      <c r="BA56" s="12">
        <v>0</v>
      </c>
      <c r="BB56" s="12">
        <v>0</v>
      </c>
      <c r="BC56" s="13">
        <f t="shared" si="33"/>
        <v>6400</v>
      </c>
      <c r="BD56" s="13">
        <f t="shared" si="34"/>
        <v>0</v>
      </c>
      <c r="BE56" s="13">
        <f t="shared" si="35"/>
        <v>0</v>
      </c>
      <c r="BF56" s="22">
        <f t="shared" si="36"/>
        <v>0</v>
      </c>
      <c r="BG56" s="16">
        <f t="shared" si="28"/>
        <v>22.5</v>
      </c>
      <c r="BH56" s="16">
        <f t="shared" si="29"/>
        <v>1650</v>
      </c>
      <c r="BI56" s="12" t="s">
        <v>551</v>
      </c>
      <c r="BJ56" s="12" t="s">
        <v>1036</v>
      </c>
      <c r="BK56" s="12" t="s">
        <v>552</v>
      </c>
      <c r="BL56" s="12">
        <v>9914100008</v>
      </c>
      <c r="BM56" s="12" t="s">
        <v>877</v>
      </c>
      <c r="BN56" s="12" t="s">
        <v>767</v>
      </c>
      <c r="BO56" s="12" t="s">
        <v>1085</v>
      </c>
      <c r="BP56" s="12">
        <v>0</v>
      </c>
      <c r="BQ56" s="51">
        <v>1500</v>
      </c>
      <c r="BR56" s="22">
        <v>1500</v>
      </c>
      <c r="BS56" s="22">
        <v>20.25</v>
      </c>
      <c r="BT56" s="17">
        <v>1425</v>
      </c>
      <c r="BU56" s="12" t="s">
        <v>551</v>
      </c>
      <c r="BV56" s="12" t="s">
        <v>1036</v>
      </c>
      <c r="BW56" s="12" t="s">
        <v>552</v>
      </c>
      <c r="BX56" s="12">
        <v>9914100008</v>
      </c>
      <c r="BY56" s="12" t="s">
        <v>1039</v>
      </c>
      <c r="BZ56" s="12" t="s">
        <v>776</v>
      </c>
      <c r="CA56" s="12" t="s">
        <v>112</v>
      </c>
      <c r="CB56" s="12">
        <v>0</v>
      </c>
      <c r="CC56" s="12">
        <v>7000</v>
      </c>
      <c r="CD56" s="12">
        <v>7000</v>
      </c>
      <c r="CE56" s="18">
        <v>23.25</v>
      </c>
      <c r="CF56" s="12">
        <v>11530</v>
      </c>
      <c r="CG56" s="12">
        <v>6.3999999999999897</v>
      </c>
      <c r="CH56" s="19" t="s">
        <v>340</v>
      </c>
      <c r="CI56" s="12">
        <v>0</v>
      </c>
      <c r="CJ56" s="12">
        <v>0</v>
      </c>
      <c r="CK56" s="12" t="s">
        <v>142</v>
      </c>
      <c r="CL56" s="12">
        <v>0</v>
      </c>
      <c r="CM56" s="12" t="s">
        <v>142</v>
      </c>
      <c r="CN56" s="12" t="s">
        <v>142</v>
      </c>
      <c r="CO56" s="19" t="s">
        <v>340</v>
      </c>
      <c r="CP56" s="12">
        <v>0</v>
      </c>
      <c r="CQ56" s="12">
        <v>0</v>
      </c>
      <c r="CR56" s="12">
        <v>0</v>
      </c>
      <c r="CS56" s="12">
        <v>0</v>
      </c>
      <c r="CT56" s="12">
        <v>0</v>
      </c>
      <c r="CU56" s="12" t="s">
        <v>551</v>
      </c>
      <c r="CV56" s="12" t="s">
        <v>552</v>
      </c>
      <c r="CW56" s="12">
        <v>9914100008</v>
      </c>
      <c r="CX56" s="12" t="s">
        <v>1036</v>
      </c>
      <c r="CY56" s="12" t="s">
        <v>340</v>
      </c>
      <c r="CZ56" s="12">
        <f>1015-10</f>
        <v>1005</v>
      </c>
      <c r="DA56" s="12">
        <v>0</v>
      </c>
      <c r="DB56" s="12" t="s">
        <v>877</v>
      </c>
      <c r="DC56" s="12">
        <v>153</v>
      </c>
      <c r="DD56" s="12">
        <v>63</v>
      </c>
      <c r="DE56" s="12">
        <v>63000</v>
      </c>
      <c r="DF56" s="21" t="str">
        <f t="shared" si="30"/>
        <v>Photos\New\CHANDIGARH.pptx</v>
      </c>
      <c r="DG56" s="21" t="str">
        <f t="shared" si="31"/>
        <v>Videos\New\CHANDIGARH</v>
      </c>
      <c r="DH56" s="21" t="str">
        <f t="shared" si="32"/>
        <v>Manpower\CHANDIGARH.pptx</v>
      </c>
    </row>
    <row r="57" spans="1:112" ht="15.75" customHeight="1" x14ac:dyDescent="0.35">
      <c r="A57" s="24" t="s">
        <v>516</v>
      </c>
      <c r="B57" s="12" t="s">
        <v>535</v>
      </c>
      <c r="C57" s="12">
        <v>0</v>
      </c>
      <c r="D57" s="12">
        <v>0</v>
      </c>
      <c r="E57" s="12" t="s">
        <v>536</v>
      </c>
      <c r="F57" s="12">
        <v>0</v>
      </c>
      <c r="G57" s="12">
        <v>0</v>
      </c>
      <c r="H57" s="28" t="s">
        <v>291</v>
      </c>
      <c r="I57" s="28">
        <v>4</v>
      </c>
      <c r="J57" s="28">
        <v>15</v>
      </c>
      <c r="K57" s="28">
        <v>5</v>
      </c>
      <c r="L57" s="12" t="s">
        <v>537</v>
      </c>
      <c r="M57" s="12">
        <v>9855409499</v>
      </c>
      <c r="N57" s="12" t="s">
        <v>1040</v>
      </c>
      <c r="O57" s="12" t="s">
        <v>777</v>
      </c>
      <c r="P57" s="12">
        <v>0</v>
      </c>
      <c r="Q57" s="12">
        <v>0</v>
      </c>
      <c r="R57" s="12">
        <v>0</v>
      </c>
      <c r="S57" s="12">
        <v>0</v>
      </c>
      <c r="T57" s="12">
        <v>0</v>
      </c>
      <c r="U57" s="12">
        <v>0</v>
      </c>
      <c r="V57" s="12">
        <v>0</v>
      </c>
      <c r="W57" s="12">
        <v>0</v>
      </c>
      <c r="X57" s="12">
        <v>0</v>
      </c>
      <c r="Y57" s="12">
        <v>0</v>
      </c>
      <c r="Z57" s="12">
        <v>0</v>
      </c>
      <c r="AA57" s="12">
        <v>0</v>
      </c>
      <c r="AB57" s="12">
        <v>0</v>
      </c>
      <c r="AC57" s="12">
        <v>0</v>
      </c>
      <c r="AD57" s="12">
        <v>0</v>
      </c>
      <c r="AE57" s="12">
        <v>0</v>
      </c>
      <c r="AF57" s="12" t="s">
        <v>1083</v>
      </c>
      <c r="AG57" s="12">
        <v>0</v>
      </c>
      <c r="AH57" s="12">
        <v>0</v>
      </c>
      <c r="AI57" s="12">
        <v>15.8</v>
      </c>
      <c r="AJ57" s="12">
        <v>0</v>
      </c>
      <c r="AK57" s="12">
        <v>0</v>
      </c>
      <c r="AL57" s="12">
        <f t="shared" si="27"/>
        <v>15.8</v>
      </c>
      <c r="AM57" s="22">
        <v>10000</v>
      </c>
      <c r="AN57" s="22">
        <v>0</v>
      </c>
      <c r="AO57" s="22">
        <v>0</v>
      </c>
      <c r="AP57" s="22">
        <v>0</v>
      </c>
      <c r="AQ57" s="16">
        <v>22.75</v>
      </c>
      <c r="AR57" s="16">
        <v>1675</v>
      </c>
      <c r="AS57" s="12">
        <v>0</v>
      </c>
      <c r="AT57" s="12">
        <v>0</v>
      </c>
      <c r="AU57" s="12">
        <v>0</v>
      </c>
      <c r="AV57" s="12">
        <v>0</v>
      </c>
      <c r="AW57" s="12">
        <v>0</v>
      </c>
      <c r="AX57" s="12">
        <v>0</v>
      </c>
      <c r="AY57" s="12">
        <v>0</v>
      </c>
      <c r="AZ57" s="12">
        <v>0</v>
      </c>
      <c r="BA57" s="12">
        <v>0</v>
      </c>
      <c r="BB57" s="12">
        <v>0</v>
      </c>
      <c r="BC57" s="13">
        <f t="shared" si="33"/>
        <v>10000</v>
      </c>
      <c r="BD57" s="13">
        <f t="shared" si="34"/>
        <v>0</v>
      </c>
      <c r="BE57" s="13">
        <f t="shared" si="35"/>
        <v>0</v>
      </c>
      <c r="BF57" s="22">
        <f t="shared" si="36"/>
        <v>0</v>
      </c>
      <c r="BG57" s="16">
        <f t="shared" si="28"/>
        <v>22.75</v>
      </c>
      <c r="BH57" s="16">
        <f t="shared" si="29"/>
        <v>1675</v>
      </c>
      <c r="BI57" s="12" t="s">
        <v>535</v>
      </c>
      <c r="BJ57" s="12" t="s">
        <v>536</v>
      </c>
      <c r="BK57" s="12" t="s">
        <v>537</v>
      </c>
      <c r="BL57" s="12">
        <v>9855409499</v>
      </c>
      <c r="BM57" s="12" t="s">
        <v>1040</v>
      </c>
      <c r="BN57" s="12" t="s">
        <v>777</v>
      </c>
      <c r="BO57" s="12" t="s">
        <v>1085</v>
      </c>
      <c r="BP57" s="12">
        <v>0</v>
      </c>
      <c r="BQ57" s="51">
        <v>5000</v>
      </c>
      <c r="BR57" s="22">
        <v>5000</v>
      </c>
      <c r="BS57" s="22">
        <v>20.5</v>
      </c>
      <c r="BT57" s="17">
        <v>1450</v>
      </c>
      <c r="BU57" s="12" t="s">
        <v>538</v>
      </c>
      <c r="BV57" s="12" t="s">
        <v>536</v>
      </c>
      <c r="BW57" s="12" t="s">
        <v>539</v>
      </c>
      <c r="BX57" s="12">
        <v>9814500499</v>
      </c>
      <c r="BY57" s="12" t="s">
        <v>1028</v>
      </c>
      <c r="BZ57" s="12" t="s">
        <v>696</v>
      </c>
      <c r="CA57" s="12" t="s">
        <v>112</v>
      </c>
      <c r="CB57" s="12">
        <v>0</v>
      </c>
      <c r="CC57" s="12">
        <v>15000</v>
      </c>
      <c r="CD57" s="12">
        <v>15000</v>
      </c>
      <c r="CE57" s="18">
        <v>23.5</v>
      </c>
      <c r="CF57" s="17">
        <v>11540</v>
      </c>
      <c r="CG57" s="18">
        <v>6.4999999999999902</v>
      </c>
      <c r="CH57" s="19" t="s">
        <v>340</v>
      </c>
      <c r="CI57" s="12">
        <v>0</v>
      </c>
      <c r="CJ57" s="12">
        <v>0</v>
      </c>
      <c r="CK57" s="12" t="s">
        <v>142</v>
      </c>
      <c r="CL57" s="12">
        <v>0</v>
      </c>
      <c r="CM57" s="12" t="s">
        <v>142</v>
      </c>
      <c r="CN57" s="12" t="s">
        <v>142</v>
      </c>
      <c r="CO57" s="19" t="s">
        <v>340</v>
      </c>
      <c r="CP57" s="12">
        <v>0</v>
      </c>
      <c r="CQ57" s="12">
        <v>0</v>
      </c>
      <c r="CR57" s="12">
        <v>0</v>
      </c>
      <c r="CS57" s="12">
        <v>0</v>
      </c>
      <c r="CT57" s="12">
        <v>0</v>
      </c>
      <c r="CU57" s="12" t="s">
        <v>521</v>
      </c>
      <c r="CV57" s="12" t="s">
        <v>522</v>
      </c>
      <c r="CW57" s="12">
        <v>9871841157</v>
      </c>
      <c r="CX57" s="12" t="s">
        <v>523</v>
      </c>
      <c r="CY57" s="12" t="s">
        <v>340</v>
      </c>
      <c r="CZ57" s="12">
        <f>1017-14</f>
        <v>1003</v>
      </c>
      <c r="DA57" s="12">
        <v>0</v>
      </c>
      <c r="DB57" s="12" t="s">
        <v>995</v>
      </c>
      <c r="DC57" s="12">
        <v>154</v>
      </c>
      <c r="DD57" s="12">
        <v>64</v>
      </c>
      <c r="DE57" s="12">
        <v>64000</v>
      </c>
      <c r="DF57" s="21" t="str">
        <f t="shared" si="30"/>
        <v>Photos\New\LUDHIANA.pptx</v>
      </c>
      <c r="DG57" s="21" t="str">
        <f t="shared" si="31"/>
        <v>Videos\New\LUDHIANA</v>
      </c>
      <c r="DH57" s="21" t="str">
        <f t="shared" si="32"/>
        <v>Manpower\LUDHIANA.pptx</v>
      </c>
    </row>
    <row r="58" spans="1:112" ht="15.75" customHeight="1" x14ac:dyDescent="0.35">
      <c r="A58" s="24" t="s">
        <v>517</v>
      </c>
      <c r="B58" s="12" t="s">
        <v>545</v>
      </c>
      <c r="C58" s="12">
        <v>0</v>
      </c>
      <c r="D58" s="12">
        <v>0</v>
      </c>
      <c r="E58" s="12" t="s">
        <v>546</v>
      </c>
      <c r="F58" s="12">
        <v>0</v>
      </c>
      <c r="G58" s="12">
        <v>0</v>
      </c>
      <c r="H58" s="28" t="s">
        <v>104</v>
      </c>
      <c r="I58" s="28">
        <v>5</v>
      </c>
      <c r="J58" s="28">
        <v>14</v>
      </c>
      <c r="K58" s="28">
        <v>1</v>
      </c>
      <c r="L58" s="12" t="s">
        <v>545</v>
      </c>
      <c r="M58" s="12">
        <v>9857018184</v>
      </c>
      <c r="N58" s="12" t="s">
        <v>1041</v>
      </c>
      <c r="O58" s="12" t="s">
        <v>689</v>
      </c>
      <c r="P58" s="12">
        <v>0</v>
      </c>
      <c r="Q58" s="12">
        <v>0</v>
      </c>
      <c r="R58" s="12">
        <v>0</v>
      </c>
      <c r="S58" s="12">
        <v>0</v>
      </c>
      <c r="T58" s="12">
        <v>0</v>
      </c>
      <c r="U58" s="12">
        <v>0</v>
      </c>
      <c r="V58" s="12">
        <v>0</v>
      </c>
      <c r="W58" s="12">
        <v>0</v>
      </c>
      <c r="X58" s="12">
        <v>0</v>
      </c>
      <c r="Y58" s="12">
        <v>0</v>
      </c>
      <c r="Z58" s="12">
        <v>0</v>
      </c>
      <c r="AA58" s="12">
        <v>0</v>
      </c>
      <c r="AB58" s="12">
        <v>0</v>
      </c>
      <c r="AC58" s="12">
        <v>0</v>
      </c>
      <c r="AD58" s="12">
        <v>0</v>
      </c>
      <c r="AE58" s="12">
        <v>0</v>
      </c>
      <c r="AF58" s="12" t="s">
        <v>112</v>
      </c>
      <c r="AG58" s="12">
        <v>0</v>
      </c>
      <c r="AH58" s="12">
        <v>0</v>
      </c>
      <c r="AI58" s="12">
        <v>0</v>
      </c>
      <c r="AJ58" s="12">
        <v>0</v>
      </c>
      <c r="AK58" s="12">
        <v>0</v>
      </c>
      <c r="AL58" s="12">
        <f t="shared" si="27"/>
        <v>0</v>
      </c>
      <c r="AM58" s="22">
        <v>4500</v>
      </c>
      <c r="AN58" s="22">
        <v>0</v>
      </c>
      <c r="AO58" s="22">
        <v>0</v>
      </c>
      <c r="AP58" s="22">
        <v>0</v>
      </c>
      <c r="AQ58" s="16">
        <v>23</v>
      </c>
      <c r="AR58" s="16">
        <v>1700</v>
      </c>
      <c r="AS58" s="12">
        <v>0</v>
      </c>
      <c r="AT58" s="12">
        <v>0</v>
      </c>
      <c r="AU58" s="12">
        <v>0</v>
      </c>
      <c r="AV58" s="12">
        <v>0</v>
      </c>
      <c r="AW58" s="12">
        <v>0</v>
      </c>
      <c r="AX58" s="12">
        <v>0</v>
      </c>
      <c r="AY58" s="12">
        <v>0</v>
      </c>
      <c r="AZ58" s="12">
        <v>0</v>
      </c>
      <c r="BA58" s="12">
        <v>0</v>
      </c>
      <c r="BB58" s="12">
        <v>0</v>
      </c>
      <c r="BC58" s="13">
        <f t="shared" si="33"/>
        <v>4500</v>
      </c>
      <c r="BD58" s="13">
        <f t="shared" si="34"/>
        <v>0</v>
      </c>
      <c r="BE58" s="13">
        <f t="shared" si="35"/>
        <v>0</v>
      </c>
      <c r="BF58" s="22">
        <f t="shared" si="36"/>
        <v>0</v>
      </c>
      <c r="BG58" s="16">
        <f t="shared" si="28"/>
        <v>23</v>
      </c>
      <c r="BH58" s="16">
        <f t="shared" si="29"/>
        <v>1700</v>
      </c>
      <c r="BI58" s="12">
        <v>0</v>
      </c>
      <c r="BJ58" s="12">
        <v>0</v>
      </c>
      <c r="BK58" s="12">
        <v>0</v>
      </c>
      <c r="BL58" s="12">
        <v>0</v>
      </c>
      <c r="BM58" s="12">
        <v>0</v>
      </c>
      <c r="BN58" s="12">
        <v>0</v>
      </c>
      <c r="BO58" s="12">
        <v>0</v>
      </c>
      <c r="BP58" s="12">
        <v>0</v>
      </c>
      <c r="BQ58" s="51">
        <v>0</v>
      </c>
      <c r="BR58" s="22">
        <v>0</v>
      </c>
      <c r="BS58" s="22">
        <v>20.75</v>
      </c>
      <c r="BT58" s="17">
        <v>1475</v>
      </c>
      <c r="BU58" s="12" t="s">
        <v>542</v>
      </c>
      <c r="BV58" s="23" t="s">
        <v>543</v>
      </c>
      <c r="BW58" s="12" t="s">
        <v>544</v>
      </c>
      <c r="BX58" s="12">
        <v>9797595444</v>
      </c>
      <c r="BY58" s="12" t="s">
        <v>850</v>
      </c>
      <c r="BZ58" s="12" t="s">
        <v>689</v>
      </c>
      <c r="CA58" s="12" t="s">
        <v>112</v>
      </c>
      <c r="CB58" s="12">
        <v>0</v>
      </c>
      <c r="CC58" s="17">
        <f>8000/5.5</f>
        <v>1454.5454545454545</v>
      </c>
      <c r="CD58" s="12">
        <v>1186</v>
      </c>
      <c r="CE58" s="18">
        <v>23.75</v>
      </c>
      <c r="CF58" s="17">
        <v>11550</v>
      </c>
      <c r="CG58" s="18">
        <v>6.5999999999999899</v>
      </c>
      <c r="CH58" s="19" t="s">
        <v>340</v>
      </c>
      <c r="CI58" s="12">
        <v>7000</v>
      </c>
      <c r="CJ58" s="18">
        <f>+CI58/9.5</f>
        <v>736.84210526315792</v>
      </c>
      <c r="CK58" s="18">
        <v>11.6</v>
      </c>
      <c r="CL58" s="18">
        <f>+CJ58/18</f>
        <v>40.935672514619881</v>
      </c>
      <c r="CM58" s="32">
        <v>10051017</v>
      </c>
      <c r="CN58" s="12" t="s">
        <v>108</v>
      </c>
      <c r="CO58" s="19" t="s">
        <v>340</v>
      </c>
      <c r="CP58" s="12">
        <v>0</v>
      </c>
      <c r="CQ58" s="12">
        <v>0</v>
      </c>
      <c r="CR58" s="12">
        <v>0</v>
      </c>
      <c r="CS58" s="12">
        <v>0</v>
      </c>
      <c r="CT58" s="12">
        <v>0</v>
      </c>
      <c r="CU58" s="12" t="s">
        <v>540</v>
      </c>
      <c r="CV58" s="12" t="s">
        <v>561</v>
      </c>
      <c r="CW58" s="12">
        <v>9411055077</v>
      </c>
      <c r="CX58" s="12" t="s">
        <v>541</v>
      </c>
      <c r="CY58" s="12" t="s">
        <v>340</v>
      </c>
      <c r="CZ58" s="12">
        <f>1016-15</f>
        <v>1001</v>
      </c>
      <c r="DA58" s="12">
        <v>0</v>
      </c>
      <c r="DB58" s="12" t="s">
        <v>850</v>
      </c>
      <c r="DC58" s="12">
        <v>155</v>
      </c>
      <c r="DD58" s="12">
        <v>65</v>
      </c>
      <c r="DE58" s="12">
        <v>65000</v>
      </c>
      <c r="DF58" s="21" t="str">
        <f t="shared" si="30"/>
        <v>Photos\New\DEHRADUN.pptx</v>
      </c>
      <c r="DG58" s="21" t="str">
        <f t="shared" si="31"/>
        <v>Videos\New\DEHRADUN</v>
      </c>
      <c r="DH58" s="21" t="str">
        <f t="shared" si="32"/>
        <v>Manpower\DEHRADUN.pptx</v>
      </c>
    </row>
    <row r="59" spans="1:112" ht="15.75" customHeight="1" x14ac:dyDescent="0.35">
      <c r="A59" s="12" t="s">
        <v>513</v>
      </c>
      <c r="B59" s="12" t="s">
        <v>557</v>
      </c>
      <c r="C59" s="12">
        <v>0</v>
      </c>
      <c r="D59" s="12">
        <v>0</v>
      </c>
      <c r="E59" s="12" t="s">
        <v>558</v>
      </c>
      <c r="F59" s="12">
        <v>0</v>
      </c>
      <c r="G59" s="12">
        <v>0</v>
      </c>
      <c r="H59" s="28" t="s">
        <v>104</v>
      </c>
      <c r="I59" s="28">
        <v>0</v>
      </c>
      <c r="J59" s="28">
        <v>10</v>
      </c>
      <c r="K59" s="28">
        <v>1</v>
      </c>
      <c r="L59" s="12" t="s">
        <v>559</v>
      </c>
      <c r="M59" s="12">
        <v>9899515157</v>
      </c>
      <c r="N59" s="12" t="s">
        <v>956</v>
      </c>
      <c r="O59" s="12" t="s">
        <v>712</v>
      </c>
      <c r="P59" s="12">
        <v>0</v>
      </c>
      <c r="Q59" s="12">
        <v>0</v>
      </c>
      <c r="R59" s="12">
        <v>0</v>
      </c>
      <c r="S59" s="12">
        <v>0</v>
      </c>
      <c r="T59" s="12">
        <v>0</v>
      </c>
      <c r="U59" s="12">
        <v>0</v>
      </c>
      <c r="V59" s="12">
        <v>0</v>
      </c>
      <c r="W59" s="12">
        <v>0</v>
      </c>
      <c r="X59" s="12">
        <v>0</v>
      </c>
      <c r="Y59" s="12">
        <v>0</v>
      </c>
      <c r="Z59" s="12">
        <v>0</v>
      </c>
      <c r="AA59" s="12">
        <v>0</v>
      </c>
      <c r="AB59" s="12">
        <v>0</v>
      </c>
      <c r="AC59" s="12">
        <v>0</v>
      </c>
      <c r="AD59" s="12">
        <v>0</v>
      </c>
      <c r="AE59" s="12">
        <v>0</v>
      </c>
      <c r="AF59" s="12" t="s">
        <v>1083</v>
      </c>
      <c r="AG59" s="12">
        <v>0</v>
      </c>
      <c r="AH59" s="12">
        <v>0</v>
      </c>
      <c r="AI59" s="12">
        <v>0</v>
      </c>
      <c r="AJ59" s="12">
        <v>0</v>
      </c>
      <c r="AK59" s="12">
        <v>0</v>
      </c>
      <c r="AL59" s="12">
        <f t="shared" si="27"/>
        <v>0</v>
      </c>
      <c r="AM59" s="22">
        <v>11500</v>
      </c>
      <c r="AN59" s="22">
        <v>0</v>
      </c>
      <c r="AO59" s="22">
        <v>0</v>
      </c>
      <c r="AP59" s="22">
        <v>0</v>
      </c>
      <c r="AQ59" s="16">
        <v>23.25</v>
      </c>
      <c r="AR59" s="16">
        <v>1725</v>
      </c>
      <c r="AS59" s="12">
        <v>0</v>
      </c>
      <c r="AT59" s="12">
        <v>0</v>
      </c>
      <c r="AU59" s="12">
        <v>0</v>
      </c>
      <c r="AV59" s="12">
        <v>0</v>
      </c>
      <c r="AW59" s="12">
        <v>0</v>
      </c>
      <c r="AX59" s="12">
        <v>0</v>
      </c>
      <c r="AY59" s="12">
        <v>0</v>
      </c>
      <c r="AZ59" s="12">
        <v>0</v>
      </c>
      <c r="BA59" s="12">
        <v>0</v>
      </c>
      <c r="BB59" s="12">
        <v>0</v>
      </c>
      <c r="BC59" s="13">
        <f t="shared" si="33"/>
        <v>11500</v>
      </c>
      <c r="BD59" s="13">
        <f t="shared" si="34"/>
        <v>0</v>
      </c>
      <c r="BE59" s="13">
        <f t="shared" si="35"/>
        <v>0</v>
      </c>
      <c r="BF59" s="22">
        <f t="shared" si="36"/>
        <v>0</v>
      </c>
      <c r="BG59" s="16">
        <f t="shared" si="28"/>
        <v>23.25</v>
      </c>
      <c r="BH59" s="16">
        <f t="shared" si="29"/>
        <v>1725</v>
      </c>
      <c r="BI59" s="12" t="s">
        <v>557</v>
      </c>
      <c r="BJ59" s="12" t="s">
        <v>558</v>
      </c>
      <c r="BK59" s="12" t="s">
        <v>559</v>
      </c>
      <c r="BL59" s="12">
        <v>9899515157</v>
      </c>
      <c r="BM59" s="12" t="s">
        <v>956</v>
      </c>
      <c r="BN59" s="12" t="s">
        <v>712</v>
      </c>
      <c r="BO59" s="12" t="s">
        <v>1085</v>
      </c>
      <c r="BP59" s="12">
        <v>0</v>
      </c>
      <c r="BQ59" s="51">
        <v>5400</v>
      </c>
      <c r="BR59" s="22">
        <v>5400</v>
      </c>
      <c r="BS59" s="15">
        <v>21</v>
      </c>
      <c r="BT59" s="17">
        <v>1500</v>
      </c>
      <c r="BU59" s="12" t="s">
        <v>637</v>
      </c>
      <c r="BV59" s="12" t="s">
        <v>1042</v>
      </c>
      <c r="BW59" s="12" t="s">
        <v>564</v>
      </c>
      <c r="BX59" s="12">
        <v>9899966650</v>
      </c>
      <c r="BY59" s="12" t="s">
        <v>1043</v>
      </c>
      <c r="BZ59" s="12" t="s">
        <v>778</v>
      </c>
      <c r="CA59" s="12" t="s">
        <v>112</v>
      </c>
      <c r="CB59" s="12">
        <v>0</v>
      </c>
      <c r="CC59" s="12">
        <v>71000</v>
      </c>
      <c r="CD59" s="12">
        <v>71000</v>
      </c>
      <c r="CE59" s="18">
        <v>24</v>
      </c>
      <c r="CF59" s="17">
        <v>11560</v>
      </c>
      <c r="CG59" s="12">
        <v>6.6999999999999904</v>
      </c>
      <c r="CH59" s="19" t="s">
        <v>340</v>
      </c>
      <c r="CI59" s="12">
        <v>0</v>
      </c>
      <c r="CJ59" s="12">
        <v>0</v>
      </c>
      <c r="CK59" s="12" t="s">
        <v>142</v>
      </c>
      <c r="CL59" s="12">
        <v>0</v>
      </c>
      <c r="CM59" s="12" t="s">
        <v>142</v>
      </c>
      <c r="CN59" s="12" t="s">
        <v>142</v>
      </c>
      <c r="CO59" s="19" t="s">
        <v>340</v>
      </c>
      <c r="CP59" s="12">
        <v>0</v>
      </c>
      <c r="CQ59" s="12">
        <v>0</v>
      </c>
      <c r="CR59" s="12">
        <v>0</v>
      </c>
      <c r="CS59" s="12">
        <v>0</v>
      </c>
      <c r="CT59" s="12">
        <v>0</v>
      </c>
      <c r="CU59" s="12" t="s">
        <v>560</v>
      </c>
      <c r="CV59" s="12" t="s">
        <v>562</v>
      </c>
      <c r="CW59" s="12">
        <v>9811114655</v>
      </c>
      <c r="CX59" s="12" t="s">
        <v>779</v>
      </c>
      <c r="CY59" s="12" t="s">
        <v>563</v>
      </c>
      <c r="CZ59" s="12">
        <f>1017-10</f>
        <v>1007</v>
      </c>
      <c r="DA59" s="12">
        <v>0</v>
      </c>
      <c r="DB59" s="12" t="s">
        <v>1044</v>
      </c>
      <c r="DC59" s="12">
        <v>156</v>
      </c>
      <c r="DD59" s="12">
        <v>66</v>
      </c>
      <c r="DE59" s="12">
        <v>66000</v>
      </c>
      <c r="DF59" s="21" t="str">
        <f>"Photos\New\"&amp;$A54&amp;".pptx"</f>
        <v>Photos\New\SRINAGAR.pptx</v>
      </c>
      <c r="DG59" s="21" t="str">
        <f>"Videos\New\"&amp;$A54</f>
        <v>Videos\New\SRINAGAR</v>
      </c>
      <c r="DH59" s="21" t="str">
        <f t="shared" si="32"/>
        <v>Manpower\KUNDLI.pptx</v>
      </c>
    </row>
    <row r="60" spans="1:112" ht="15.75" customHeight="1" x14ac:dyDescent="0.35">
      <c r="A60" s="24" t="s">
        <v>519</v>
      </c>
      <c r="B60" s="12" t="s">
        <v>533</v>
      </c>
      <c r="C60" s="12">
        <v>0</v>
      </c>
      <c r="D60" s="12">
        <v>0</v>
      </c>
      <c r="E60" s="12" t="s">
        <v>780</v>
      </c>
      <c r="F60" s="12">
        <v>0</v>
      </c>
      <c r="G60" s="12">
        <v>0</v>
      </c>
      <c r="H60" s="28" t="s">
        <v>291</v>
      </c>
      <c r="I60" s="28">
        <v>4</v>
      </c>
      <c r="J60" s="28">
        <v>10</v>
      </c>
      <c r="K60" s="28">
        <v>1</v>
      </c>
      <c r="L60" s="12" t="s">
        <v>534</v>
      </c>
      <c r="M60" s="12">
        <v>9464555111</v>
      </c>
      <c r="N60" s="12" t="s">
        <v>781</v>
      </c>
      <c r="O60" s="12" t="s">
        <v>782</v>
      </c>
      <c r="P60" s="12">
        <v>0</v>
      </c>
      <c r="Q60" s="12">
        <v>0</v>
      </c>
      <c r="R60" s="12">
        <v>0</v>
      </c>
      <c r="S60" s="12">
        <v>0</v>
      </c>
      <c r="T60" s="12">
        <v>0</v>
      </c>
      <c r="U60" s="12">
        <v>0</v>
      </c>
      <c r="V60" s="12">
        <v>0</v>
      </c>
      <c r="W60" s="12">
        <v>0</v>
      </c>
      <c r="X60" s="12">
        <v>0</v>
      </c>
      <c r="Y60" s="12">
        <v>0</v>
      </c>
      <c r="Z60" s="12">
        <v>0</v>
      </c>
      <c r="AA60" s="12">
        <v>0</v>
      </c>
      <c r="AB60" s="12">
        <v>0</v>
      </c>
      <c r="AC60" s="12">
        <v>0</v>
      </c>
      <c r="AD60" s="12">
        <v>0</v>
      </c>
      <c r="AE60" s="12">
        <v>0</v>
      </c>
      <c r="AF60" s="12" t="s">
        <v>1090</v>
      </c>
      <c r="AG60" s="12">
        <v>0</v>
      </c>
      <c r="AH60" s="12">
        <v>0</v>
      </c>
      <c r="AI60" s="12">
        <v>0</v>
      </c>
      <c r="AJ60" s="12">
        <v>0</v>
      </c>
      <c r="AK60" s="12">
        <v>0</v>
      </c>
      <c r="AL60" s="12">
        <f t="shared" si="27"/>
        <v>0</v>
      </c>
      <c r="AM60" s="22">
        <v>10000</v>
      </c>
      <c r="AN60" s="22">
        <v>10000</v>
      </c>
      <c r="AO60" s="22">
        <v>761</v>
      </c>
      <c r="AP60" s="22">
        <v>0</v>
      </c>
      <c r="AQ60" s="16">
        <v>23.5</v>
      </c>
      <c r="AR60" s="16">
        <v>1750</v>
      </c>
      <c r="AS60" s="12">
        <v>0</v>
      </c>
      <c r="AT60" s="12">
        <v>0</v>
      </c>
      <c r="AU60" s="12">
        <v>0</v>
      </c>
      <c r="AV60" s="12">
        <v>0</v>
      </c>
      <c r="AW60" s="12">
        <v>0</v>
      </c>
      <c r="AX60" s="12">
        <v>0</v>
      </c>
      <c r="AY60" s="12">
        <v>0</v>
      </c>
      <c r="AZ60" s="12">
        <v>0</v>
      </c>
      <c r="BA60" s="12">
        <v>0</v>
      </c>
      <c r="BB60" s="12">
        <v>0</v>
      </c>
      <c r="BC60" s="13">
        <f t="shared" si="33"/>
        <v>10000</v>
      </c>
      <c r="BD60" s="13">
        <f t="shared" si="34"/>
        <v>10000</v>
      </c>
      <c r="BE60" s="13">
        <f t="shared" si="35"/>
        <v>761</v>
      </c>
      <c r="BF60" s="22">
        <f t="shared" si="36"/>
        <v>0</v>
      </c>
      <c r="BG60" s="16">
        <f t="shared" si="28"/>
        <v>23.5</v>
      </c>
      <c r="BH60" s="16">
        <f t="shared" si="29"/>
        <v>1750</v>
      </c>
      <c r="BI60" s="12">
        <v>0</v>
      </c>
      <c r="BJ60" s="12">
        <v>0</v>
      </c>
      <c r="BK60" s="12">
        <v>0</v>
      </c>
      <c r="BL60" s="12">
        <v>0</v>
      </c>
      <c r="BM60" s="12">
        <v>0</v>
      </c>
      <c r="BN60" s="12">
        <v>0</v>
      </c>
      <c r="BO60" s="12">
        <v>0</v>
      </c>
      <c r="BP60" s="12">
        <v>0</v>
      </c>
      <c r="BQ60" s="18">
        <v>0</v>
      </c>
      <c r="BR60" s="12">
        <v>0</v>
      </c>
      <c r="BS60" s="22">
        <v>21.25</v>
      </c>
      <c r="BT60" s="17">
        <v>1525</v>
      </c>
      <c r="BU60" s="12" t="s">
        <v>635</v>
      </c>
      <c r="BV60" s="12" t="s">
        <v>1045</v>
      </c>
      <c r="BW60" s="12" t="s">
        <v>636</v>
      </c>
      <c r="BX60" s="12">
        <v>9156100008</v>
      </c>
      <c r="BY60" s="12" t="s">
        <v>783</v>
      </c>
      <c r="BZ60" s="12" t="s">
        <v>784</v>
      </c>
      <c r="CA60" s="12" t="s">
        <v>1083</v>
      </c>
      <c r="CB60" s="12">
        <v>1.7</v>
      </c>
      <c r="CC60" s="12">
        <f>17000/11</f>
        <v>1545.4545454545455</v>
      </c>
      <c r="CD60" s="12">
        <v>1000</v>
      </c>
      <c r="CE60" s="18">
        <v>24.25</v>
      </c>
      <c r="CF60" s="12">
        <v>11570</v>
      </c>
      <c r="CG60" s="18">
        <v>6.7999999999999901</v>
      </c>
      <c r="CH60" s="19" t="s">
        <v>340</v>
      </c>
      <c r="CI60" s="12">
        <f>1000*9.5</f>
        <v>9500</v>
      </c>
      <c r="CJ60" s="18">
        <f>+CI60/9.5</f>
        <v>1000</v>
      </c>
      <c r="CK60" s="18">
        <v>50</v>
      </c>
      <c r="CL60" s="18">
        <f>+CJ60/18</f>
        <v>55.555555555555557</v>
      </c>
      <c r="CM60" s="12">
        <v>1019</v>
      </c>
      <c r="CN60" s="12" t="s">
        <v>108</v>
      </c>
      <c r="CO60" s="19" t="s">
        <v>340</v>
      </c>
      <c r="CP60" s="12">
        <v>0</v>
      </c>
      <c r="CQ60" s="12">
        <v>0</v>
      </c>
      <c r="CR60" s="12">
        <v>0</v>
      </c>
      <c r="CS60" s="12">
        <v>0</v>
      </c>
      <c r="CT60" s="12">
        <v>0</v>
      </c>
      <c r="CU60" s="12" t="s">
        <v>578</v>
      </c>
      <c r="CV60" s="12" t="s">
        <v>579</v>
      </c>
      <c r="CW60" s="12">
        <v>9855600005</v>
      </c>
      <c r="CX60" s="12" t="s">
        <v>580</v>
      </c>
      <c r="CY60" s="12" t="s">
        <v>581</v>
      </c>
      <c r="CZ60" s="12">
        <v>1019</v>
      </c>
      <c r="DA60" s="12">
        <v>0</v>
      </c>
      <c r="DB60" s="12" t="s">
        <v>1046</v>
      </c>
      <c r="DC60" s="12">
        <v>157</v>
      </c>
      <c r="DD60" s="12">
        <v>67</v>
      </c>
      <c r="DE60" s="12">
        <v>67000</v>
      </c>
      <c r="DF60" s="21" t="str">
        <f>"Photos\New\"&amp;$A60&amp;".pptx"</f>
        <v>Photos\New\BHATINDA.pptx</v>
      </c>
      <c r="DG60" s="21" t="str">
        <f>"Videos\New\"&amp;$A60</f>
        <v>Videos\New\BHATINDA</v>
      </c>
      <c r="DH60" s="21" t="str">
        <f t="shared" si="32"/>
        <v>Manpower\BHATINDA.pptx</v>
      </c>
    </row>
    <row r="61" spans="1:112" ht="15.75" customHeight="1" x14ac:dyDescent="0.35">
      <c r="A61" s="12" t="s">
        <v>345</v>
      </c>
      <c r="B61" s="12" t="s">
        <v>365</v>
      </c>
      <c r="C61" s="12">
        <v>0</v>
      </c>
      <c r="D61" s="12">
        <v>0</v>
      </c>
      <c r="E61" s="12" t="s">
        <v>366</v>
      </c>
      <c r="F61" s="12">
        <v>0</v>
      </c>
      <c r="G61" s="12">
        <v>0</v>
      </c>
      <c r="H61" s="28" t="s">
        <v>367</v>
      </c>
      <c r="I61" s="28">
        <v>5</v>
      </c>
      <c r="J61" s="28">
        <v>15</v>
      </c>
      <c r="K61" s="28">
        <v>6</v>
      </c>
      <c r="L61" s="12" t="s">
        <v>368</v>
      </c>
      <c r="M61" s="12">
        <v>9457050711</v>
      </c>
      <c r="N61" s="12" t="s">
        <v>1047</v>
      </c>
      <c r="O61" s="12" t="s">
        <v>955</v>
      </c>
      <c r="P61" s="12">
        <v>0</v>
      </c>
      <c r="Q61" s="12">
        <v>0</v>
      </c>
      <c r="R61" s="12">
        <v>0</v>
      </c>
      <c r="S61" s="12">
        <v>0</v>
      </c>
      <c r="T61" s="12">
        <v>0</v>
      </c>
      <c r="U61" s="12">
        <v>0</v>
      </c>
      <c r="V61" s="12">
        <v>0</v>
      </c>
      <c r="W61" s="12">
        <v>0</v>
      </c>
      <c r="X61" s="12">
        <v>0</v>
      </c>
      <c r="Y61" s="12">
        <v>0</v>
      </c>
      <c r="Z61" s="12">
        <v>0</v>
      </c>
      <c r="AA61" s="12">
        <v>0</v>
      </c>
      <c r="AB61" s="12">
        <v>0</v>
      </c>
      <c r="AC61" s="12">
        <v>0</v>
      </c>
      <c r="AD61" s="12">
        <v>0</v>
      </c>
      <c r="AE61" s="12">
        <v>0</v>
      </c>
      <c r="AF61" s="12" t="s">
        <v>1083</v>
      </c>
      <c r="AG61" s="12">
        <v>0</v>
      </c>
      <c r="AH61" s="12">
        <v>0</v>
      </c>
      <c r="AI61" s="12">
        <v>0</v>
      </c>
      <c r="AJ61" s="12">
        <v>0</v>
      </c>
      <c r="AK61" s="12">
        <v>0</v>
      </c>
      <c r="AL61" s="12">
        <f>SUM(AI60:AK60)</f>
        <v>0</v>
      </c>
      <c r="AM61" s="22">
        <v>18000</v>
      </c>
      <c r="AN61" s="22">
        <v>0</v>
      </c>
      <c r="AO61" s="22">
        <v>1186</v>
      </c>
      <c r="AP61" s="22">
        <v>0</v>
      </c>
      <c r="AQ61" s="16">
        <v>23.75</v>
      </c>
      <c r="AR61" s="16">
        <v>1775</v>
      </c>
      <c r="AS61" s="12">
        <v>0</v>
      </c>
      <c r="AT61" s="12">
        <v>0</v>
      </c>
      <c r="AU61" s="12">
        <v>0</v>
      </c>
      <c r="AV61" s="12">
        <v>0</v>
      </c>
      <c r="AW61" s="12">
        <v>0</v>
      </c>
      <c r="AX61" s="12">
        <v>0</v>
      </c>
      <c r="AY61" s="12">
        <v>0</v>
      </c>
      <c r="AZ61" s="12">
        <v>0</v>
      </c>
      <c r="BA61" s="12">
        <v>0</v>
      </c>
      <c r="BB61" s="12">
        <v>0</v>
      </c>
      <c r="BC61" s="13">
        <f>SUM(AM60,AS60,AX60)</f>
        <v>10000</v>
      </c>
      <c r="BD61" s="13">
        <f>SUM(AN60,AT60,AY60)</f>
        <v>10000</v>
      </c>
      <c r="BE61" s="13">
        <f>SUM(AO60,AU60,AZ60)</f>
        <v>761</v>
      </c>
      <c r="BF61" s="22">
        <f>SUM(AP60,AV60,BA60)</f>
        <v>0</v>
      </c>
      <c r="BG61" s="16">
        <f>(AS60*AW60+AX60*BB60+AQ60*AM60)/BC60</f>
        <v>23.5</v>
      </c>
      <c r="BH61" s="16">
        <v>514</v>
      </c>
      <c r="BI61" s="12">
        <v>0</v>
      </c>
      <c r="BJ61" s="12">
        <v>0</v>
      </c>
      <c r="BK61" s="12">
        <v>0</v>
      </c>
      <c r="BL61" s="12">
        <v>0</v>
      </c>
      <c r="BM61" s="12">
        <v>0</v>
      </c>
      <c r="BN61" s="12">
        <v>0</v>
      </c>
      <c r="BO61" s="12">
        <v>0</v>
      </c>
      <c r="BP61" s="12">
        <v>0</v>
      </c>
      <c r="BQ61" s="18">
        <v>0</v>
      </c>
      <c r="BR61" s="22">
        <v>0</v>
      </c>
      <c r="BS61" s="22">
        <v>21.5</v>
      </c>
      <c r="BT61" s="17">
        <v>1550</v>
      </c>
      <c r="BU61" s="12" t="s">
        <v>362</v>
      </c>
      <c r="BV61" s="12" t="s">
        <v>363</v>
      </c>
      <c r="BW61" s="12" t="s">
        <v>364</v>
      </c>
      <c r="BX61" s="12">
        <v>9457055159</v>
      </c>
      <c r="BY61" s="12" t="s">
        <v>882</v>
      </c>
      <c r="BZ61" s="12" t="s">
        <v>709</v>
      </c>
      <c r="CA61" s="12" t="s">
        <v>1096</v>
      </c>
      <c r="CB61" s="12">
        <v>0</v>
      </c>
      <c r="CC61" s="17">
        <f>11000/5.45</f>
        <v>2018.3486238532109</v>
      </c>
      <c r="CD61" s="17">
        <f>CC60</f>
        <v>1545.4545454545455</v>
      </c>
      <c r="CE61" s="18">
        <v>24.5</v>
      </c>
      <c r="CF61" s="17">
        <v>11580</v>
      </c>
      <c r="CG61" s="18">
        <v>6.8999999999999897</v>
      </c>
      <c r="CH61" s="19" t="s">
        <v>340</v>
      </c>
      <c r="CI61" s="12">
        <v>5100</v>
      </c>
      <c r="CJ61" s="18">
        <f>+CI60/9.5</f>
        <v>1000</v>
      </c>
      <c r="CK61" s="18" t="s">
        <v>142</v>
      </c>
      <c r="CL61" s="18">
        <f>+CJ60/18</f>
        <v>55.555555555555557</v>
      </c>
      <c r="CM61" s="12">
        <v>1015</v>
      </c>
      <c r="CN61" s="12" t="s">
        <v>108</v>
      </c>
      <c r="CO61" s="19" t="s">
        <v>340</v>
      </c>
      <c r="CP61" s="12">
        <v>0</v>
      </c>
      <c r="CQ61" s="12">
        <v>0</v>
      </c>
      <c r="CR61" s="12">
        <v>0</v>
      </c>
      <c r="CS61" s="12">
        <v>0</v>
      </c>
      <c r="CT61" s="12">
        <v>0</v>
      </c>
      <c r="CU61" s="12" t="s">
        <v>369</v>
      </c>
      <c r="CV61" s="12" t="s">
        <v>370</v>
      </c>
      <c r="CW61" s="12">
        <v>7788000470</v>
      </c>
      <c r="CX61" s="12" t="s">
        <v>785</v>
      </c>
      <c r="CY61" s="12">
        <v>0</v>
      </c>
      <c r="CZ61" s="12">
        <f>1019-10</f>
        <v>1009</v>
      </c>
      <c r="DA61" s="12">
        <v>0</v>
      </c>
      <c r="DB61" s="12" t="s">
        <v>956</v>
      </c>
      <c r="DC61" s="12">
        <v>158</v>
      </c>
      <c r="DD61" s="12">
        <v>68</v>
      </c>
      <c r="DE61" s="12">
        <v>68000</v>
      </c>
      <c r="DF61" s="21" t="str">
        <f>"Photos\New\"&amp;$A60&amp;".pptx"</f>
        <v>Photos\New\BHATINDA.pptx</v>
      </c>
      <c r="DG61" s="21" t="str">
        <f>"Videos\New\"&amp;$A60</f>
        <v>Videos\New\BHATINDA</v>
      </c>
      <c r="DH61" s="21" t="str">
        <f>"Manpower\"&amp;$A60&amp;".pptx"</f>
        <v>Manpower\BHATINDA.pptx</v>
      </c>
    </row>
    <row r="62" spans="1:112" ht="15.75" customHeight="1" x14ac:dyDescent="0.35">
      <c r="A62" s="12" t="s">
        <v>258</v>
      </c>
      <c r="B62" s="12" t="s">
        <v>179</v>
      </c>
      <c r="C62" s="12">
        <v>0</v>
      </c>
      <c r="D62" s="12">
        <v>0</v>
      </c>
      <c r="E62" s="12" t="s">
        <v>1048</v>
      </c>
      <c r="F62" s="12">
        <v>0</v>
      </c>
      <c r="G62" s="12">
        <v>0</v>
      </c>
      <c r="H62" s="28" t="s">
        <v>613</v>
      </c>
      <c r="I62" s="28">
        <v>1.5</v>
      </c>
      <c r="J62" s="28">
        <v>15</v>
      </c>
      <c r="K62" s="28">
        <v>1</v>
      </c>
      <c r="L62" s="12" t="s">
        <v>612</v>
      </c>
      <c r="M62" s="12">
        <v>9679591758</v>
      </c>
      <c r="N62" s="12"/>
      <c r="O62" s="12"/>
      <c r="P62" s="12">
        <v>0</v>
      </c>
      <c r="Q62" s="12">
        <v>0</v>
      </c>
      <c r="R62" s="12">
        <v>0</v>
      </c>
      <c r="S62" s="12">
        <v>0</v>
      </c>
      <c r="T62" s="12">
        <v>0</v>
      </c>
      <c r="U62" s="12">
        <v>0</v>
      </c>
      <c r="V62" s="12">
        <v>0</v>
      </c>
      <c r="W62" s="12">
        <v>0</v>
      </c>
      <c r="X62" s="12">
        <v>0</v>
      </c>
      <c r="Y62" s="12">
        <v>0</v>
      </c>
      <c r="Z62" s="12">
        <v>0</v>
      </c>
      <c r="AA62" s="12">
        <v>0</v>
      </c>
      <c r="AB62" s="12">
        <v>0</v>
      </c>
      <c r="AC62" s="12">
        <v>0</v>
      </c>
      <c r="AD62" s="12">
        <v>0</v>
      </c>
      <c r="AE62" s="12">
        <v>0</v>
      </c>
      <c r="AF62" s="12" t="s">
        <v>1083</v>
      </c>
      <c r="AG62" s="12">
        <v>0</v>
      </c>
      <c r="AH62" s="12">
        <v>0</v>
      </c>
      <c r="AI62" s="12">
        <v>0</v>
      </c>
      <c r="AJ62" s="12">
        <v>0</v>
      </c>
      <c r="AK62" s="12">
        <v>0</v>
      </c>
      <c r="AL62" s="12">
        <f>SUM(AI64:AK64)</f>
        <v>0</v>
      </c>
      <c r="AM62" s="15">
        <v>5000</v>
      </c>
      <c r="AN62" s="15">
        <v>0</v>
      </c>
      <c r="AO62" s="15">
        <v>0</v>
      </c>
      <c r="AP62" s="15">
        <v>0</v>
      </c>
      <c r="AQ62" s="16">
        <v>24</v>
      </c>
      <c r="AR62" s="16">
        <v>1800</v>
      </c>
      <c r="AS62" s="12">
        <v>0</v>
      </c>
      <c r="AT62" s="12">
        <v>0</v>
      </c>
      <c r="AU62" s="12">
        <v>0</v>
      </c>
      <c r="AV62" s="12">
        <v>0</v>
      </c>
      <c r="AW62" s="12">
        <v>0</v>
      </c>
      <c r="AX62" s="12">
        <v>0</v>
      </c>
      <c r="AY62" s="12">
        <v>0</v>
      </c>
      <c r="AZ62" s="12">
        <v>0</v>
      </c>
      <c r="BA62" s="12">
        <v>0</v>
      </c>
      <c r="BB62" s="12">
        <v>0</v>
      </c>
      <c r="BC62" s="13">
        <f>SUM(AM64,AS64,AX64)</f>
        <v>5558</v>
      </c>
      <c r="BD62" s="13">
        <f>SUM(AN64,AT64,AY64)</f>
        <v>584</v>
      </c>
      <c r="BE62" s="13">
        <f>SUM(AO64,AU64,AZ64)</f>
        <v>184</v>
      </c>
      <c r="BF62" s="15">
        <f>SUM(AP64,AV64,BA64)</f>
        <v>0</v>
      </c>
      <c r="BG62" s="16">
        <f>(AS64*AW64+AX64*BB64+AQ64*AM64)/BC64</f>
        <v>23.017410412440839</v>
      </c>
      <c r="BH62" s="16">
        <f>+AR64</f>
        <v>1850</v>
      </c>
      <c r="BI62" s="12">
        <v>0</v>
      </c>
      <c r="BJ62" s="12">
        <v>0</v>
      </c>
      <c r="BK62" s="12">
        <v>0</v>
      </c>
      <c r="BL62" s="12">
        <v>0</v>
      </c>
      <c r="BM62" s="12">
        <v>0</v>
      </c>
      <c r="BN62" s="12">
        <v>0</v>
      </c>
      <c r="BO62" s="12">
        <v>0</v>
      </c>
      <c r="BP62" s="12">
        <v>0</v>
      </c>
      <c r="BQ62" s="18">
        <v>0</v>
      </c>
      <c r="BR62" s="15">
        <v>0</v>
      </c>
      <c r="BS62" s="22">
        <v>21.75</v>
      </c>
      <c r="BT62" s="17">
        <v>1575</v>
      </c>
      <c r="BU62" s="12">
        <v>0</v>
      </c>
      <c r="BV62" s="12">
        <v>0</v>
      </c>
      <c r="BW62" s="12">
        <v>0</v>
      </c>
      <c r="BX62" s="12">
        <v>0</v>
      </c>
      <c r="BY62" s="12">
        <v>0</v>
      </c>
      <c r="BZ62" s="12">
        <v>0</v>
      </c>
      <c r="CA62" s="12">
        <v>0</v>
      </c>
      <c r="CB62" s="12">
        <v>0</v>
      </c>
      <c r="CC62" s="12">
        <v>0</v>
      </c>
      <c r="CD62" s="12">
        <v>0</v>
      </c>
      <c r="CE62" s="18">
        <v>24.75</v>
      </c>
      <c r="CF62" s="17">
        <v>11590</v>
      </c>
      <c r="CG62" s="12">
        <v>6.9999999999999902</v>
      </c>
      <c r="CH62" s="19" t="s">
        <v>340</v>
      </c>
      <c r="CI62" s="12">
        <v>0</v>
      </c>
      <c r="CJ62" s="12">
        <v>0</v>
      </c>
      <c r="CK62" s="12" t="s">
        <v>142</v>
      </c>
      <c r="CL62" s="12">
        <v>0</v>
      </c>
      <c r="CM62" s="12" t="s">
        <v>142</v>
      </c>
      <c r="CN62" s="12" t="s">
        <v>142</v>
      </c>
      <c r="CO62" s="19" t="s">
        <v>340</v>
      </c>
      <c r="CP62" s="12">
        <v>0</v>
      </c>
      <c r="CQ62" s="12">
        <v>0</v>
      </c>
      <c r="CR62" s="12">
        <v>0</v>
      </c>
      <c r="CS62" s="12">
        <v>0</v>
      </c>
      <c r="CT62" s="12">
        <v>0</v>
      </c>
      <c r="CU62" s="12" t="s">
        <v>176</v>
      </c>
      <c r="CV62" s="12" t="s">
        <v>177</v>
      </c>
      <c r="CW62" s="12">
        <v>9454181786</v>
      </c>
      <c r="CX62" s="12" t="s">
        <v>786</v>
      </c>
      <c r="CY62" s="12" t="s">
        <v>178</v>
      </c>
      <c r="CZ62" s="12">
        <v>1017</v>
      </c>
      <c r="DA62" s="12">
        <v>0</v>
      </c>
      <c r="DB62" s="12" t="s">
        <v>1049</v>
      </c>
      <c r="DC62" s="12">
        <v>159</v>
      </c>
      <c r="DD62" s="12">
        <v>69</v>
      </c>
      <c r="DE62" s="12">
        <v>69000</v>
      </c>
      <c r="DF62" s="21" t="str">
        <f>"Photos\New\"&amp;$A64&amp;".pptx"</f>
        <v>Photos\New\IMPHAL.pptx</v>
      </c>
      <c r="DG62" s="21" t="str">
        <f>"Videos\New\"&amp;$A64</f>
        <v>Videos\New\IMPHAL</v>
      </c>
      <c r="DH62" s="21" t="str">
        <f>"Manpower\"&amp;$A64&amp;".pptx"</f>
        <v>Manpower\IMPHAL.pptx</v>
      </c>
    </row>
    <row r="63" spans="1:112" ht="15.75" customHeight="1" x14ac:dyDescent="0.35">
      <c r="A63" s="35" t="s">
        <v>254</v>
      </c>
      <c r="B63" s="12" t="s">
        <v>155</v>
      </c>
      <c r="C63" s="12" t="s">
        <v>154</v>
      </c>
      <c r="D63" s="12" t="s">
        <v>154</v>
      </c>
      <c r="E63" s="12" t="s">
        <v>156</v>
      </c>
      <c r="F63" s="12" t="s">
        <v>787</v>
      </c>
      <c r="G63" s="12" t="s">
        <v>787</v>
      </c>
      <c r="H63" s="28" t="s">
        <v>104</v>
      </c>
      <c r="I63" s="28">
        <v>5</v>
      </c>
      <c r="J63" s="28">
        <v>17</v>
      </c>
      <c r="K63" s="28">
        <v>1</v>
      </c>
      <c r="L63" s="12" t="s">
        <v>157</v>
      </c>
      <c r="M63" s="12">
        <v>9455090857</v>
      </c>
      <c r="N63" s="12" t="s">
        <v>1050</v>
      </c>
      <c r="O63" s="12" t="s">
        <v>788</v>
      </c>
      <c r="P63" s="28" t="s">
        <v>158</v>
      </c>
      <c r="Q63" s="28">
        <v>5</v>
      </c>
      <c r="R63" s="28">
        <v>17</v>
      </c>
      <c r="S63" s="28">
        <v>1</v>
      </c>
      <c r="T63" s="12" t="s">
        <v>598</v>
      </c>
      <c r="U63" s="12">
        <v>8011508118</v>
      </c>
      <c r="V63" s="12" t="s">
        <v>1051</v>
      </c>
      <c r="W63" s="12" t="s">
        <v>778</v>
      </c>
      <c r="X63" s="28" t="s">
        <v>158</v>
      </c>
      <c r="Y63" s="28" t="s">
        <v>1052</v>
      </c>
      <c r="Z63" s="28" t="s">
        <v>159</v>
      </c>
      <c r="AA63" s="28">
        <v>1</v>
      </c>
      <c r="AB63" s="12" t="s">
        <v>599</v>
      </c>
      <c r="AC63" s="12">
        <v>8876545110</v>
      </c>
      <c r="AD63" s="12" t="s">
        <v>1053</v>
      </c>
      <c r="AE63" s="12" t="s">
        <v>689</v>
      </c>
      <c r="AF63" s="12" t="s">
        <v>1092</v>
      </c>
      <c r="AG63" s="12">
        <v>0</v>
      </c>
      <c r="AH63" s="12">
        <v>0</v>
      </c>
      <c r="AI63" s="12">
        <v>6.76</v>
      </c>
      <c r="AJ63" s="12">
        <v>0.61499999999999999</v>
      </c>
      <c r="AK63" s="12">
        <v>0.61499999999999999</v>
      </c>
      <c r="AL63" s="12">
        <f t="shared" si="27"/>
        <v>7.99</v>
      </c>
      <c r="AM63" s="22">
        <v>15185</v>
      </c>
      <c r="AN63" s="22">
        <v>0</v>
      </c>
      <c r="AO63" s="22">
        <v>0</v>
      </c>
      <c r="AP63" s="22">
        <v>755</v>
      </c>
      <c r="AQ63" s="16">
        <v>24.25</v>
      </c>
      <c r="AR63" s="16">
        <v>1825</v>
      </c>
      <c r="AS63" s="22">
        <v>6595</v>
      </c>
      <c r="AT63" s="22">
        <v>0</v>
      </c>
      <c r="AU63" s="22">
        <v>0</v>
      </c>
      <c r="AV63" s="22">
        <v>0</v>
      </c>
      <c r="AW63" s="16">
        <v>5.55</v>
      </c>
      <c r="AX63" s="22">
        <v>6545</v>
      </c>
      <c r="AY63" s="22">
        <v>0</v>
      </c>
      <c r="AZ63" s="22">
        <v>0</v>
      </c>
      <c r="BA63" s="22">
        <v>0</v>
      </c>
      <c r="BB63" s="16">
        <v>5.44</v>
      </c>
      <c r="BC63" s="22">
        <f t="shared" si="33"/>
        <v>28325</v>
      </c>
      <c r="BD63" s="22">
        <f t="shared" si="34"/>
        <v>0</v>
      </c>
      <c r="BE63" s="22">
        <f t="shared" si="35"/>
        <v>0</v>
      </c>
      <c r="BF63" s="22">
        <f t="shared" si="36"/>
        <v>755</v>
      </c>
      <c r="BG63" s="16">
        <f t="shared" si="28"/>
        <v>15.549631067961165</v>
      </c>
      <c r="BH63" s="16">
        <f>+AR63</f>
        <v>1825</v>
      </c>
      <c r="BI63" s="12" t="s">
        <v>155</v>
      </c>
      <c r="BJ63" s="12" t="s">
        <v>156</v>
      </c>
      <c r="BK63" s="12" t="s">
        <v>157</v>
      </c>
      <c r="BL63" s="12">
        <v>9455090857</v>
      </c>
      <c r="BM63" s="12" t="s">
        <v>1054</v>
      </c>
      <c r="BN63" s="29" t="s">
        <v>1055</v>
      </c>
      <c r="BO63" s="29" t="s">
        <v>1092</v>
      </c>
      <c r="BP63" s="18">
        <v>0</v>
      </c>
      <c r="BQ63" s="18">
        <v>1611</v>
      </c>
      <c r="BR63" s="22">
        <v>1110</v>
      </c>
      <c r="BS63" s="15">
        <v>22</v>
      </c>
      <c r="BT63" s="17">
        <v>1600</v>
      </c>
      <c r="BU63" s="23">
        <v>0</v>
      </c>
      <c r="BV63" s="12">
        <v>0</v>
      </c>
      <c r="BW63" s="12">
        <v>0</v>
      </c>
      <c r="BX63" s="12">
        <v>0</v>
      </c>
      <c r="BY63" s="12">
        <v>0</v>
      </c>
      <c r="BZ63" s="12">
        <v>0</v>
      </c>
      <c r="CA63" s="12">
        <v>0</v>
      </c>
      <c r="CB63" s="12">
        <v>0</v>
      </c>
      <c r="CC63" s="12">
        <v>0</v>
      </c>
      <c r="CD63" s="12">
        <v>0</v>
      </c>
      <c r="CE63" s="18">
        <v>25</v>
      </c>
      <c r="CF63" s="17">
        <v>11600</v>
      </c>
      <c r="CG63" s="18">
        <v>7.0999999999999899</v>
      </c>
      <c r="CH63" s="19" t="s">
        <v>340</v>
      </c>
      <c r="CI63" s="12">
        <v>10000</v>
      </c>
      <c r="CJ63" s="18">
        <f>+CI63/9.5</f>
        <v>1052.6315789473683</v>
      </c>
      <c r="CK63" s="12">
        <v>10.88</v>
      </c>
      <c r="CL63" s="18">
        <f>+CJ63/18</f>
        <v>58.479532163742682</v>
      </c>
      <c r="CM63" s="12">
        <v>1015</v>
      </c>
      <c r="CN63" s="12" t="s">
        <v>108</v>
      </c>
      <c r="CO63" s="19" t="s">
        <v>340</v>
      </c>
      <c r="CP63" s="12">
        <v>0</v>
      </c>
      <c r="CQ63" s="12">
        <v>0</v>
      </c>
      <c r="CR63" s="12">
        <v>0</v>
      </c>
      <c r="CS63" s="12">
        <v>0</v>
      </c>
      <c r="CT63" s="12">
        <v>0</v>
      </c>
      <c r="CU63" s="12" t="s">
        <v>109</v>
      </c>
      <c r="CV63" s="31" t="s">
        <v>125</v>
      </c>
      <c r="CW63" s="31">
        <v>9850051164</v>
      </c>
      <c r="CX63" s="4" t="s">
        <v>126</v>
      </c>
      <c r="CY63" s="31" t="s">
        <v>127</v>
      </c>
      <c r="CZ63" s="12">
        <v>1998</v>
      </c>
      <c r="DA63" s="12" t="s">
        <v>47</v>
      </c>
      <c r="DB63" s="12" t="s">
        <v>1056</v>
      </c>
      <c r="DC63" s="12">
        <v>160</v>
      </c>
      <c r="DD63" s="12">
        <v>70</v>
      </c>
      <c r="DE63" s="12">
        <v>70000</v>
      </c>
      <c r="DF63" s="21" t="str">
        <f>"Photos\New\"&amp;$A63&amp;".pptx"</f>
        <v>Photos\New\JORHAT.pptx</v>
      </c>
      <c r="DG63" s="21" t="str">
        <f>"Videos\New\"&amp;$A63</f>
        <v>Videos\New\JORHAT</v>
      </c>
      <c r="DH63" s="21" t="str">
        <f t="shared" si="32"/>
        <v>Manpower\JORHAT.pptx</v>
      </c>
    </row>
    <row r="64" spans="1:112" ht="15.75" customHeight="1" x14ac:dyDescent="0.35">
      <c r="A64" s="12" t="s">
        <v>253</v>
      </c>
      <c r="B64" s="12" t="s">
        <v>102</v>
      </c>
      <c r="C64" s="12">
        <v>0</v>
      </c>
      <c r="D64" s="12">
        <v>0</v>
      </c>
      <c r="E64" s="12" t="s">
        <v>103</v>
      </c>
      <c r="F64" s="12">
        <v>0</v>
      </c>
      <c r="G64" s="12">
        <v>0</v>
      </c>
      <c r="H64" s="28" t="s">
        <v>291</v>
      </c>
      <c r="I64" s="28">
        <v>4</v>
      </c>
      <c r="J64" s="28">
        <v>10</v>
      </c>
      <c r="K64" s="28">
        <v>1</v>
      </c>
      <c r="L64" s="12" t="s">
        <v>102</v>
      </c>
      <c r="M64" s="12" t="s">
        <v>1057</v>
      </c>
      <c r="N64" s="12" t="s">
        <v>1058</v>
      </c>
      <c r="O64" s="12" t="s">
        <v>789</v>
      </c>
      <c r="P64" s="12">
        <v>0</v>
      </c>
      <c r="Q64" s="12">
        <v>0</v>
      </c>
      <c r="R64" s="12">
        <v>0</v>
      </c>
      <c r="S64" s="12">
        <v>0</v>
      </c>
      <c r="T64" s="12">
        <v>0</v>
      </c>
      <c r="U64" s="12">
        <v>0</v>
      </c>
      <c r="V64" s="12">
        <v>0</v>
      </c>
      <c r="W64" s="12">
        <v>0</v>
      </c>
      <c r="X64" s="12">
        <v>0</v>
      </c>
      <c r="Y64" s="12">
        <v>0</v>
      </c>
      <c r="Z64" s="12">
        <v>0</v>
      </c>
      <c r="AA64" s="12">
        <v>0</v>
      </c>
      <c r="AB64" s="12">
        <v>0</v>
      </c>
      <c r="AC64" s="12">
        <v>0</v>
      </c>
      <c r="AD64" s="12">
        <v>0</v>
      </c>
      <c r="AE64" s="12">
        <v>0</v>
      </c>
      <c r="AF64" s="12" t="s">
        <v>1092</v>
      </c>
      <c r="AG64" s="12">
        <v>0</v>
      </c>
      <c r="AH64" s="12">
        <v>0</v>
      </c>
      <c r="AI64" s="12">
        <v>0</v>
      </c>
      <c r="AJ64" s="12">
        <v>0</v>
      </c>
      <c r="AK64" s="12">
        <v>0</v>
      </c>
      <c r="AL64" s="12">
        <f t="shared" si="27"/>
        <v>0</v>
      </c>
      <c r="AM64" s="22">
        <v>5558</v>
      </c>
      <c r="AN64" s="22">
        <v>584</v>
      </c>
      <c r="AO64" s="22">
        <v>184</v>
      </c>
      <c r="AP64" s="22">
        <v>0</v>
      </c>
      <c r="AQ64" s="16">
        <v>24.5</v>
      </c>
      <c r="AR64" s="16">
        <v>1850</v>
      </c>
      <c r="AS64" s="12">
        <v>0</v>
      </c>
      <c r="AT64" s="12">
        <v>0</v>
      </c>
      <c r="AU64" s="12">
        <v>0</v>
      </c>
      <c r="AV64" s="12">
        <v>0</v>
      </c>
      <c r="AW64" s="12">
        <v>0</v>
      </c>
      <c r="AX64" s="12">
        <v>0</v>
      </c>
      <c r="AY64" s="12">
        <v>0</v>
      </c>
      <c r="AZ64" s="12">
        <v>0</v>
      </c>
      <c r="BA64" s="12">
        <v>0</v>
      </c>
      <c r="BB64" s="12">
        <v>0</v>
      </c>
      <c r="BC64" s="22">
        <v>5916</v>
      </c>
      <c r="BD64" s="22">
        <f t="shared" si="34"/>
        <v>584</v>
      </c>
      <c r="BE64" s="22">
        <f t="shared" si="35"/>
        <v>184</v>
      </c>
      <c r="BF64" s="22">
        <f t="shared" si="36"/>
        <v>0</v>
      </c>
      <c r="BG64" s="16">
        <f t="shared" si="28"/>
        <v>23.017410412440839</v>
      </c>
      <c r="BH64" s="16">
        <f>+AR64</f>
        <v>1850</v>
      </c>
      <c r="BI64" s="12" t="s">
        <v>102</v>
      </c>
      <c r="BJ64" s="12" t="s">
        <v>103</v>
      </c>
      <c r="BK64" s="12" t="s">
        <v>102</v>
      </c>
      <c r="BL64" s="12">
        <v>9456016591</v>
      </c>
      <c r="BM64" s="12" t="s">
        <v>1059</v>
      </c>
      <c r="BN64" s="29" t="s">
        <v>790</v>
      </c>
      <c r="BO64" s="29" t="s">
        <v>1092</v>
      </c>
      <c r="BP64" s="18">
        <v>0</v>
      </c>
      <c r="BQ64" s="18" t="s">
        <v>659</v>
      </c>
      <c r="BR64" s="22">
        <v>584</v>
      </c>
      <c r="BS64" s="22">
        <v>22.25</v>
      </c>
      <c r="BT64" s="17">
        <v>1625</v>
      </c>
      <c r="BU64" s="61">
        <v>0</v>
      </c>
      <c r="BV64" s="12">
        <v>0</v>
      </c>
      <c r="BW64" s="12">
        <v>0</v>
      </c>
      <c r="BX64" s="12">
        <v>0</v>
      </c>
      <c r="BY64" s="12">
        <v>0</v>
      </c>
      <c r="BZ64" s="12">
        <v>0</v>
      </c>
      <c r="CA64" s="12">
        <v>0</v>
      </c>
      <c r="CB64" s="12">
        <v>0</v>
      </c>
      <c r="CC64" s="12">
        <v>0</v>
      </c>
      <c r="CD64" s="12">
        <v>0</v>
      </c>
      <c r="CE64" s="18">
        <v>25.25</v>
      </c>
      <c r="CF64" s="12">
        <v>11610</v>
      </c>
      <c r="CG64" s="18">
        <v>7.1999999999999904</v>
      </c>
      <c r="CH64" s="19" t="s">
        <v>340</v>
      </c>
      <c r="CI64" s="12">
        <v>0</v>
      </c>
      <c r="CJ64" s="12">
        <v>0</v>
      </c>
      <c r="CK64" s="12" t="s">
        <v>142</v>
      </c>
      <c r="CL64" s="12">
        <v>0</v>
      </c>
      <c r="CM64" s="12" t="s">
        <v>142</v>
      </c>
      <c r="CN64" s="12" t="s">
        <v>142</v>
      </c>
      <c r="CO64" s="19" t="s">
        <v>340</v>
      </c>
      <c r="CP64" s="12">
        <v>0</v>
      </c>
      <c r="CQ64" s="12">
        <v>0</v>
      </c>
      <c r="CR64" s="12">
        <v>0</v>
      </c>
      <c r="CS64" s="12">
        <v>0</v>
      </c>
      <c r="CT64" s="12">
        <v>0</v>
      </c>
      <c r="CU64" s="12" t="s">
        <v>105</v>
      </c>
      <c r="CV64" s="31" t="s">
        <v>197</v>
      </c>
      <c r="CW64" s="31">
        <v>9566705450</v>
      </c>
      <c r="CX64" s="4" t="s">
        <v>198</v>
      </c>
      <c r="CY64" s="31" t="s">
        <v>106</v>
      </c>
      <c r="CZ64" s="12">
        <v>1986</v>
      </c>
      <c r="DA64" s="12">
        <v>0</v>
      </c>
      <c r="DB64" s="12" t="s">
        <v>1060</v>
      </c>
      <c r="DC64" s="12">
        <v>161</v>
      </c>
      <c r="DD64" s="12">
        <v>71</v>
      </c>
      <c r="DE64" s="12">
        <v>71000</v>
      </c>
      <c r="DF64" s="21" t="str">
        <f>"Photos\New\"&amp;$A64&amp;".pptx"</f>
        <v>Photos\New\IMPHAL.pptx</v>
      </c>
      <c r="DG64" s="21" t="str">
        <f>"Videos\New\"&amp;$A64</f>
        <v>Videos\New\IMPHAL</v>
      </c>
      <c r="DH64" s="21" t="str">
        <f t="shared" si="32"/>
        <v>Manpower\IMPHAL.pptx</v>
      </c>
    </row>
    <row r="65" spans="1:112" ht="15.75" customHeight="1" x14ac:dyDescent="0.35">
      <c r="A65" s="12" t="s">
        <v>651</v>
      </c>
      <c r="B65" s="12" t="s">
        <v>657</v>
      </c>
      <c r="C65" s="12">
        <v>0</v>
      </c>
      <c r="D65" s="12">
        <v>0</v>
      </c>
      <c r="E65" s="12" t="s">
        <v>1061</v>
      </c>
      <c r="F65" s="12">
        <v>0</v>
      </c>
      <c r="G65" s="12">
        <v>0</v>
      </c>
      <c r="H65" s="28" t="s">
        <v>658</v>
      </c>
      <c r="I65" s="28">
        <v>5</v>
      </c>
      <c r="J65" s="28">
        <v>16</v>
      </c>
      <c r="K65" s="28">
        <v>6</v>
      </c>
      <c r="L65" s="12" t="s">
        <v>657</v>
      </c>
      <c r="M65" s="12" t="s">
        <v>142</v>
      </c>
      <c r="N65" s="12" t="s">
        <v>1062</v>
      </c>
      <c r="O65" s="12" t="s">
        <v>791</v>
      </c>
      <c r="P65" s="12">
        <v>0</v>
      </c>
      <c r="Q65" s="12">
        <v>0</v>
      </c>
      <c r="R65" s="12">
        <v>0</v>
      </c>
      <c r="S65" s="12">
        <v>0</v>
      </c>
      <c r="T65" s="12">
        <v>0</v>
      </c>
      <c r="U65" s="12">
        <v>0</v>
      </c>
      <c r="V65" s="12">
        <v>0</v>
      </c>
      <c r="W65" s="12">
        <v>0</v>
      </c>
      <c r="X65" s="12">
        <v>0</v>
      </c>
      <c r="Y65" s="12">
        <v>0</v>
      </c>
      <c r="Z65" s="12">
        <v>0</v>
      </c>
      <c r="AA65" s="12">
        <v>0</v>
      </c>
      <c r="AB65" s="12">
        <v>0</v>
      </c>
      <c r="AC65" s="12">
        <v>0</v>
      </c>
      <c r="AD65" s="12">
        <v>0</v>
      </c>
      <c r="AE65" s="12">
        <v>0</v>
      </c>
      <c r="AF65" s="12" t="s">
        <v>1083</v>
      </c>
      <c r="AG65" s="12">
        <v>0</v>
      </c>
      <c r="AH65" s="12">
        <v>0</v>
      </c>
      <c r="AI65" s="12">
        <v>5.56</v>
      </c>
      <c r="AJ65" s="12">
        <v>0</v>
      </c>
      <c r="AK65" s="12">
        <v>0</v>
      </c>
      <c r="AL65" s="12">
        <f t="shared" si="27"/>
        <v>5.56</v>
      </c>
      <c r="AM65" s="22">
        <v>15100</v>
      </c>
      <c r="AN65" s="22">
        <v>1000</v>
      </c>
      <c r="AO65" s="22">
        <v>700</v>
      </c>
      <c r="AP65" s="22">
        <v>0</v>
      </c>
      <c r="AQ65" s="16">
        <v>24.75</v>
      </c>
      <c r="AR65" s="16">
        <v>1875</v>
      </c>
      <c r="AS65" s="12">
        <v>0</v>
      </c>
      <c r="AT65" s="12">
        <v>0</v>
      </c>
      <c r="AU65" s="12">
        <v>0</v>
      </c>
      <c r="AV65" s="12">
        <v>0</v>
      </c>
      <c r="AW65" s="12">
        <v>0</v>
      </c>
      <c r="AX65" s="12">
        <v>0</v>
      </c>
      <c r="AY65" s="12">
        <v>0</v>
      </c>
      <c r="AZ65" s="12">
        <v>0</v>
      </c>
      <c r="BA65" s="12">
        <v>0</v>
      </c>
      <c r="BB65" s="12">
        <v>0</v>
      </c>
      <c r="BC65" s="13">
        <f t="shared" si="33"/>
        <v>15100</v>
      </c>
      <c r="BD65" s="22">
        <f t="shared" si="34"/>
        <v>1000</v>
      </c>
      <c r="BE65" s="22">
        <f t="shared" si="35"/>
        <v>700</v>
      </c>
      <c r="BF65" s="22">
        <f t="shared" si="36"/>
        <v>0</v>
      </c>
      <c r="BG65" s="16">
        <f t="shared" si="28"/>
        <v>24.75</v>
      </c>
      <c r="BH65" s="16">
        <f>+AR65</f>
        <v>1875</v>
      </c>
      <c r="BI65" s="12">
        <v>0</v>
      </c>
      <c r="BJ65" s="12">
        <v>0</v>
      </c>
      <c r="BK65" s="12">
        <v>0</v>
      </c>
      <c r="BL65" s="12">
        <v>0</v>
      </c>
      <c r="BM65" s="12">
        <v>0</v>
      </c>
      <c r="BN65" s="29">
        <v>0</v>
      </c>
      <c r="BO65" s="12">
        <v>0</v>
      </c>
      <c r="BP65" s="18">
        <v>0</v>
      </c>
      <c r="BQ65" s="18">
        <v>0</v>
      </c>
      <c r="BR65" s="22">
        <v>0</v>
      </c>
      <c r="BS65" s="22">
        <v>22.5</v>
      </c>
      <c r="BT65" s="17">
        <v>1650</v>
      </c>
      <c r="BU65" s="61" t="s">
        <v>674</v>
      </c>
      <c r="BV65" s="61" t="s">
        <v>1063</v>
      </c>
      <c r="BW65" s="12" t="s">
        <v>673</v>
      </c>
      <c r="BX65" s="12" t="s">
        <v>142</v>
      </c>
      <c r="BY65" s="12" t="s">
        <v>1064</v>
      </c>
      <c r="BZ65" s="12" t="s">
        <v>772</v>
      </c>
      <c r="CA65" s="12" t="s">
        <v>1096</v>
      </c>
      <c r="CB65" s="12">
        <v>0</v>
      </c>
      <c r="CC65" s="12">
        <v>1000</v>
      </c>
      <c r="CD65" s="12">
        <v>1500</v>
      </c>
      <c r="CE65" s="18">
        <v>25.5</v>
      </c>
      <c r="CF65" s="17">
        <v>11620</v>
      </c>
      <c r="CG65" s="12">
        <v>7.2999999999999901</v>
      </c>
      <c r="CH65" s="19" t="s">
        <v>340</v>
      </c>
      <c r="CI65" s="12">
        <v>0</v>
      </c>
      <c r="CJ65" s="12">
        <v>0</v>
      </c>
      <c r="CK65" s="12">
        <v>0</v>
      </c>
      <c r="CL65" s="12">
        <v>0</v>
      </c>
      <c r="CM65" s="12">
        <v>0</v>
      </c>
      <c r="CN65" s="12">
        <v>0</v>
      </c>
      <c r="CO65" s="19">
        <v>0</v>
      </c>
      <c r="CP65" s="12">
        <v>0</v>
      </c>
      <c r="CQ65" s="12">
        <v>0</v>
      </c>
      <c r="CR65" s="12">
        <v>0</v>
      </c>
      <c r="CS65" s="12">
        <v>0</v>
      </c>
      <c r="CT65" s="12">
        <v>0</v>
      </c>
      <c r="CU65" s="12" t="s">
        <v>491</v>
      </c>
      <c r="CV65" s="31" t="s">
        <v>494</v>
      </c>
      <c r="CW65" s="31">
        <v>9815057041</v>
      </c>
      <c r="CX65" s="4" t="s">
        <v>1065</v>
      </c>
      <c r="CY65" s="31" t="s">
        <v>495</v>
      </c>
      <c r="CZ65" s="12">
        <f>1010-56</f>
        <v>954</v>
      </c>
      <c r="DA65" s="12" t="s">
        <v>44</v>
      </c>
      <c r="DB65" s="12" t="s">
        <v>1066</v>
      </c>
      <c r="DC65" s="12">
        <v>162</v>
      </c>
      <c r="DD65" s="12">
        <v>72</v>
      </c>
      <c r="DE65" s="12">
        <v>72000</v>
      </c>
      <c r="DF65" s="21" t="str">
        <f t="shared" ref="DF65:DF68" si="39">"Photos\New\"&amp;$A65&amp;".pptx"</f>
        <v>Photos\New\MEHSANA.pptx</v>
      </c>
      <c r="DG65" s="21" t="str">
        <f t="shared" ref="DG65:DG68" si="40">"Videos\New\"&amp;$A65</f>
        <v>Videos\New\MEHSANA</v>
      </c>
      <c r="DH65" s="21" t="str">
        <f t="shared" ref="DH65:DH68" si="41">"Manpower\"&amp;$A65&amp;".pptx"</f>
        <v>Manpower\MEHSANA.pptx</v>
      </c>
    </row>
    <row r="66" spans="1:112" ht="15.75" customHeight="1" x14ac:dyDescent="0.35">
      <c r="A66" s="12" t="s">
        <v>652</v>
      </c>
      <c r="B66" s="12" t="s">
        <v>666</v>
      </c>
      <c r="C66" s="12">
        <v>0</v>
      </c>
      <c r="D66" s="12">
        <v>0</v>
      </c>
      <c r="E66" s="12" t="s">
        <v>1067</v>
      </c>
      <c r="F66" s="12">
        <v>0</v>
      </c>
      <c r="G66" s="12">
        <v>0</v>
      </c>
      <c r="H66" s="28" t="s">
        <v>668</v>
      </c>
      <c r="I66" s="28">
        <v>5</v>
      </c>
      <c r="J66" s="28">
        <v>17</v>
      </c>
      <c r="K66" s="28">
        <v>1</v>
      </c>
      <c r="L66" s="12" t="s">
        <v>667</v>
      </c>
      <c r="M66" s="12" t="s">
        <v>1068</v>
      </c>
      <c r="N66" s="12" t="s">
        <v>1069</v>
      </c>
      <c r="O66" s="12" t="s">
        <v>1070</v>
      </c>
      <c r="P66" s="12">
        <v>0</v>
      </c>
      <c r="Q66" s="12">
        <v>0</v>
      </c>
      <c r="R66" s="12">
        <v>0</v>
      </c>
      <c r="S66" s="12">
        <v>0</v>
      </c>
      <c r="T66" s="12">
        <v>0</v>
      </c>
      <c r="U66" s="12">
        <v>0</v>
      </c>
      <c r="V66" s="12">
        <v>0</v>
      </c>
      <c r="W66" s="12">
        <v>0</v>
      </c>
      <c r="X66" s="12">
        <v>0</v>
      </c>
      <c r="Y66" s="12">
        <v>0</v>
      </c>
      <c r="Z66" s="12">
        <v>0</v>
      </c>
      <c r="AA66" s="12">
        <v>0</v>
      </c>
      <c r="AB66" s="12">
        <v>0</v>
      </c>
      <c r="AC66" s="12">
        <v>0</v>
      </c>
      <c r="AD66" s="12">
        <v>0</v>
      </c>
      <c r="AE66" s="12">
        <v>0</v>
      </c>
      <c r="AF66" s="12" t="s">
        <v>1083</v>
      </c>
      <c r="AG66" s="12">
        <v>0</v>
      </c>
      <c r="AH66" s="12">
        <v>0</v>
      </c>
      <c r="AI66" s="12">
        <v>4.51</v>
      </c>
      <c r="AJ66" s="12">
        <v>0</v>
      </c>
      <c r="AK66" s="12">
        <v>0</v>
      </c>
      <c r="AL66" s="12">
        <v>4.51</v>
      </c>
      <c r="AM66" s="22">
        <v>11000</v>
      </c>
      <c r="AN66" s="22">
        <v>0</v>
      </c>
      <c r="AO66" s="22">
        <v>0</v>
      </c>
      <c r="AP66" s="22">
        <v>1500</v>
      </c>
      <c r="AQ66" s="16">
        <v>25</v>
      </c>
      <c r="AR66" s="16">
        <v>1900</v>
      </c>
      <c r="AS66" s="12">
        <v>0</v>
      </c>
      <c r="AT66" s="12">
        <v>0</v>
      </c>
      <c r="AU66" s="12">
        <v>0</v>
      </c>
      <c r="AV66" s="12">
        <v>0</v>
      </c>
      <c r="AW66" s="12">
        <v>0</v>
      </c>
      <c r="AX66" s="12">
        <v>0</v>
      </c>
      <c r="AY66" s="12">
        <v>0</v>
      </c>
      <c r="AZ66" s="12">
        <v>0</v>
      </c>
      <c r="BA66" s="12">
        <v>0</v>
      </c>
      <c r="BB66" s="12">
        <v>0</v>
      </c>
      <c r="BC66" s="13">
        <f t="shared" si="33"/>
        <v>11000</v>
      </c>
      <c r="BD66" s="22">
        <f t="shared" ref="BD66" si="42">SUM(AN66,AT66,AY66)</f>
        <v>0</v>
      </c>
      <c r="BE66" s="22">
        <f t="shared" ref="BE66" si="43">SUM(AO66,AU66,AZ66)</f>
        <v>0</v>
      </c>
      <c r="BF66" s="22">
        <f t="shared" si="36"/>
        <v>1500</v>
      </c>
      <c r="BG66" s="16">
        <f t="shared" si="28"/>
        <v>25</v>
      </c>
      <c r="BH66" s="16">
        <f t="shared" ref="BH66:BH68" si="44">+AR66</f>
        <v>1900</v>
      </c>
      <c r="BI66" s="12" t="s">
        <v>669</v>
      </c>
      <c r="BJ66" s="12" t="s">
        <v>1071</v>
      </c>
      <c r="BK66" s="12" t="s">
        <v>670</v>
      </c>
      <c r="BL66" s="12" t="s">
        <v>1072</v>
      </c>
      <c r="BM66" s="12" t="s">
        <v>1073</v>
      </c>
      <c r="BN66" s="29" t="s">
        <v>792</v>
      </c>
      <c r="BO66" s="12" t="s">
        <v>1085</v>
      </c>
      <c r="BP66" s="18">
        <v>1.69</v>
      </c>
      <c r="BQ66" s="18">
        <v>1500</v>
      </c>
      <c r="BR66" s="22">
        <v>1500</v>
      </c>
      <c r="BS66" s="22">
        <v>22.75</v>
      </c>
      <c r="BT66" s="17">
        <v>1675</v>
      </c>
      <c r="BU66" s="61" t="s">
        <v>671</v>
      </c>
      <c r="BV66" s="12" t="s">
        <v>1074</v>
      </c>
      <c r="BW66" s="12" t="s">
        <v>672</v>
      </c>
      <c r="BX66" s="12">
        <v>8966001891</v>
      </c>
      <c r="BY66" s="12" t="s">
        <v>1075</v>
      </c>
      <c r="BZ66" s="12" t="s">
        <v>793</v>
      </c>
      <c r="CA66" s="12" t="s">
        <v>1076</v>
      </c>
      <c r="CB66" s="12">
        <v>1.87</v>
      </c>
      <c r="CC66" s="12">
        <v>1100</v>
      </c>
      <c r="CD66" s="12">
        <v>1100</v>
      </c>
      <c r="CE66" s="18">
        <v>25.75</v>
      </c>
      <c r="CF66" s="17">
        <v>11630</v>
      </c>
      <c r="CG66" s="18">
        <v>7.3999999999999897</v>
      </c>
      <c r="CH66" s="19" t="s">
        <v>340</v>
      </c>
      <c r="CI66" s="12">
        <v>0</v>
      </c>
      <c r="CJ66" s="12">
        <v>0</v>
      </c>
      <c r="CK66" s="12">
        <v>0</v>
      </c>
      <c r="CL66" s="12">
        <v>0</v>
      </c>
      <c r="CM66" s="12">
        <v>0</v>
      </c>
      <c r="CN66" s="12">
        <v>0</v>
      </c>
      <c r="CO66" s="19">
        <v>0</v>
      </c>
      <c r="CP66" s="12">
        <v>0</v>
      </c>
      <c r="CQ66" s="12">
        <v>0</v>
      </c>
      <c r="CR66" s="12">
        <v>0</v>
      </c>
      <c r="CS66" s="12">
        <v>0</v>
      </c>
      <c r="CT66" s="12">
        <v>0</v>
      </c>
      <c r="CU66" s="12" t="s">
        <v>669</v>
      </c>
      <c r="CV66" s="12" t="s">
        <v>670</v>
      </c>
      <c r="CW66" s="12" t="s">
        <v>1072</v>
      </c>
      <c r="CX66" s="12" t="s">
        <v>1071</v>
      </c>
      <c r="CY66" s="31">
        <v>0</v>
      </c>
      <c r="CZ66" s="12">
        <v>1019</v>
      </c>
      <c r="DA66" s="12">
        <v>0</v>
      </c>
      <c r="DB66" s="12" t="s">
        <v>1066</v>
      </c>
      <c r="DC66" s="12">
        <v>163</v>
      </c>
      <c r="DD66" s="12">
        <v>73</v>
      </c>
      <c r="DE66" s="12">
        <v>73000</v>
      </c>
      <c r="DF66" s="21" t="str">
        <f t="shared" si="39"/>
        <v>Photos\New\BHOPAL.pptx</v>
      </c>
      <c r="DG66" s="21" t="str">
        <f t="shared" si="40"/>
        <v>Videos\New\BHOPAL</v>
      </c>
      <c r="DH66" s="21" t="str">
        <f t="shared" si="41"/>
        <v>Manpower\BHOPAL.pptx</v>
      </c>
    </row>
    <row r="67" spans="1:112" ht="15.75" customHeight="1" x14ac:dyDescent="0.35">
      <c r="A67" s="12" t="s">
        <v>653</v>
      </c>
      <c r="B67" s="12" t="s">
        <v>654</v>
      </c>
      <c r="C67" s="12">
        <v>0</v>
      </c>
      <c r="D67" s="12">
        <v>0</v>
      </c>
      <c r="E67" s="12" t="s">
        <v>982</v>
      </c>
      <c r="F67" s="12">
        <v>0</v>
      </c>
      <c r="G67" s="12">
        <v>0</v>
      </c>
      <c r="H67" s="28" t="s">
        <v>291</v>
      </c>
      <c r="I67" s="28">
        <v>5</v>
      </c>
      <c r="J67" s="28">
        <v>15</v>
      </c>
      <c r="K67" s="28">
        <v>4</v>
      </c>
      <c r="L67" s="12" t="s">
        <v>624</v>
      </c>
      <c r="M67" s="12">
        <v>9457055877</v>
      </c>
      <c r="N67" s="12" t="s">
        <v>983</v>
      </c>
      <c r="O67" s="12" t="s">
        <v>767</v>
      </c>
      <c r="P67" s="12">
        <v>0</v>
      </c>
      <c r="Q67" s="12">
        <v>0</v>
      </c>
      <c r="R67" s="12">
        <v>0</v>
      </c>
      <c r="S67" s="12">
        <v>0</v>
      </c>
      <c r="T67" s="12">
        <v>0</v>
      </c>
      <c r="U67" s="12">
        <v>0</v>
      </c>
      <c r="V67" s="12">
        <v>0</v>
      </c>
      <c r="W67" s="12">
        <v>0</v>
      </c>
      <c r="X67" s="12">
        <v>0</v>
      </c>
      <c r="Y67" s="12">
        <v>0</v>
      </c>
      <c r="Z67" s="12">
        <v>0</v>
      </c>
      <c r="AA67" s="12">
        <v>0</v>
      </c>
      <c r="AB67" s="12">
        <v>0</v>
      </c>
      <c r="AC67" s="12">
        <v>0</v>
      </c>
      <c r="AD67" s="12">
        <v>0</v>
      </c>
      <c r="AE67" s="12">
        <v>0</v>
      </c>
      <c r="AF67" s="12">
        <v>0</v>
      </c>
      <c r="AG67" s="12">
        <v>0</v>
      </c>
      <c r="AH67" s="12">
        <v>0</v>
      </c>
      <c r="AI67" s="12">
        <v>0</v>
      </c>
      <c r="AJ67" s="12">
        <v>0</v>
      </c>
      <c r="AK67" s="12">
        <v>0</v>
      </c>
      <c r="AL67" s="12">
        <f t="shared" si="27"/>
        <v>0</v>
      </c>
      <c r="AM67" s="22">
        <v>10917</v>
      </c>
      <c r="AN67" s="22">
        <f>451/1</f>
        <v>451</v>
      </c>
      <c r="AO67" s="22">
        <v>0</v>
      </c>
      <c r="AP67" s="22">
        <v>0</v>
      </c>
      <c r="AQ67" s="16">
        <v>25.25</v>
      </c>
      <c r="AR67" s="16">
        <v>1925</v>
      </c>
      <c r="AS67" s="12">
        <v>0</v>
      </c>
      <c r="AT67" s="12">
        <v>0</v>
      </c>
      <c r="AU67" s="12">
        <v>0</v>
      </c>
      <c r="AV67" s="12">
        <v>0</v>
      </c>
      <c r="AW67" s="12">
        <v>0</v>
      </c>
      <c r="AX67" s="12">
        <v>0</v>
      </c>
      <c r="AY67" s="12">
        <v>0</v>
      </c>
      <c r="AZ67" s="12">
        <v>0</v>
      </c>
      <c r="BA67" s="12">
        <v>0</v>
      </c>
      <c r="BB67" s="12">
        <v>0</v>
      </c>
      <c r="BC67" s="13">
        <f t="shared" si="33"/>
        <v>10917</v>
      </c>
      <c r="BD67" s="22">
        <f t="shared" si="34"/>
        <v>451</v>
      </c>
      <c r="BE67" s="22">
        <f t="shared" si="35"/>
        <v>0</v>
      </c>
      <c r="BF67" s="22">
        <f t="shared" si="36"/>
        <v>0</v>
      </c>
      <c r="BG67" s="16">
        <f t="shared" si="28"/>
        <v>25.25</v>
      </c>
      <c r="BH67" s="16">
        <f t="shared" si="44"/>
        <v>1925</v>
      </c>
      <c r="BI67" s="12">
        <v>0</v>
      </c>
      <c r="BJ67" s="12">
        <v>0</v>
      </c>
      <c r="BK67" s="12">
        <v>0</v>
      </c>
      <c r="BL67" s="12">
        <v>0</v>
      </c>
      <c r="BM67" s="12">
        <v>0</v>
      </c>
      <c r="BN67" s="29">
        <v>0</v>
      </c>
      <c r="BO67" s="12">
        <v>0</v>
      </c>
      <c r="BP67" s="18">
        <v>0</v>
      </c>
      <c r="BQ67" s="18">
        <v>0</v>
      </c>
      <c r="BR67" s="22">
        <v>0</v>
      </c>
      <c r="BS67" s="15">
        <v>23</v>
      </c>
      <c r="BT67" s="17">
        <v>1700</v>
      </c>
      <c r="BU67" s="22" t="s">
        <v>362</v>
      </c>
      <c r="BV67" s="12" t="s">
        <v>655</v>
      </c>
      <c r="BW67" s="12" t="s">
        <v>656</v>
      </c>
      <c r="BX67" s="12" t="s">
        <v>1077</v>
      </c>
      <c r="BY67" s="12" t="s">
        <v>1078</v>
      </c>
      <c r="BZ67" s="12" t="s">
        <v>1038</v>
      </c>
      <c r="CA67" s="12" t="s">
        <v>1083</v>
      </c>
      <c r="CB67" s="12">
        <v>0</v>
      </c>
      <c r="CC67" s="12">
        <v>1899</v>
      </c>
      <c r="CD67" s="12">
        <v>1899</v>
      </c>
      <c r="CE67" s="18">
        <v>26</v>
      </c>
      <c r="CF67" s="17">
        <v>11640</v>
      </c>
      <c r="CG67" s="18">
        <v>7.4999999999999902</v>
      </c>
      <c r="CH67" s="19" t="s">
        <v>340</v>
      </c>
      <c r="CI67" s="12">
        <v>0</v>
      </c>
      <c r="CJ67" s="12">
        <v>0</v>
      </c>
      <c r="CK67" s="12">
        <v>0</v>
      </c>
      <c r="CL67" s="12">
        <v>0</v>
      </c>
      <c r="CM67" s="12">
        <v>0</v>
      </c>
      <c r="CN67" s="12">
        <v>0</v>
      </c>
      <c r="CO67" s="19" t="s">
        <v>340</v>
      </c>
      <c r="CP67" s="12">
        <v>0</v>
      </c>
      <c r="CQ67" s="12">
        <v>0</v>
      </c>
      <c r="CR67" s="12">
        <v>0</v>
      </c>
      <c r="CS67" s="12">
        <v>0</v>
      </c>
      <c r="CT67" s="12">
        <v>0</v>
      </c>
      <c r="CU67" s="12" t="s">
        <v>381</v>
      </c>
      <c r="CV67" s="12" t="s">
        <v>382</v>
      </c>
      <c r="CW67" s="12">
        <v>9776568777</v>
      </c>
      <c r="CX67" s="12" t="s">
        <v>984</v>
      </c>
      <c r="CY67" s="12">
        <v>0</v>
      </c>
      <c r="CZ67" s="12">
        <f>1017-54</f>
        <v>963</v>
      </c>
      <c r="DA67" s="12">
        <v>0</v>
      </c>
      <c r="DB67" s="12" t="s">
        <v>842</v>
      </c>
      <c r="DC67" s="12">
        <v>164</v>
      </c>
      <c r="DD67" s="12">
        <v>74</v>
      </c>
      <c r="DE67" s="12">
        <v>74000</v>
      </c>
      <c r="DF67" s="21" t="str">
        <f t="shared" si="39"/>
        <v>Photos\New\BHUBANESWAR.pptx</v>
      </c>
      <c r="DG67" s="21" t="str">
        <f t="shared" si="40"/>
        <v>Videos\New\BHUBANESWAR</v>
      </c>
      <c r="DH67" s="21" t="str">
        <f>"Manpower\"&amp;$A67&amp;".ppsx"</f>
        <v>Manpower\BHUBANESWAR.ppsx</v>
      </c>
    </row>
    <row r="68" spans="1:112" ht="15.75" customHeight="1" x14ac:dyDescent="0.35">
      <c r="A68" s="12" t="s">
        <v>609</v>
      </c>
      <c r="B68" s="12" t="s">
        <v>660</v>
      </c>
      <c r="C68" s="12">
        <v>0</v>
      </c>
      <c r="D68" s="12">
        <v>0</v>
      </c>
      <c r="E68" s="12" t="s">
        <v>1079</v>
      </c>
      <c r="F68" s="12">
        <v>0</v>
      </c>
      <c r="G68" s="12">
        <v>0</v>
      </c>
      <c r="H68" s="28" t="s">
        <v>291</v>
      </c>
      <c r="I68" s="28">
        <v>5</v>
      </c>
      <c r="J68" s="28">
        <v>14</v>
      </c>
      <c r="K68" s="28">
        <v>5</v>
      </c>
      <c r="L68" s="12" t="s">
        <v>661</v>
      </c>
      <c r="M68" s="12">
        <v>9557155555</v>
      </c>
      <c r="N68" s="12" t="s">
        <v>1080</v>
      </c>
      <c r="O68" s="12" t="s">
        <v>794</v>
      </c>
      <c r="P68" s="12">
        <v>0</v>
      </c>
      <c r="Q68" s="12">
        <v>0</v>
      </c>
      <c r="R68" s="12">
        <v>0</v>
      </c>
      <c r="S68" s="12">
        <v>0</v>
      </c>
      <c r="T68" s="12">
        <v>0</v>
      </c>
      <c r="U68" s="12">
        <v>0</v>
      </c>
      <c r="V68" s="12">
        <v>0</v>
      </c>
      <c r="W68" s="12">
        <v>0</v>
      </c>
      <c r="X68" s="12">
        <v>0</v>
      </c>
      <c r="Y68" s="12">
        <v>0</v>
      </c>
      <c r="Z68" s="12">
        <v>0</v>
      </c>
      <c r="AA68" s="12">
        <v>0</v>
      </c>
      <c r="AB68" s="12">
        <v>0</v>
      </c>
      <c r="AC68" s="12">
        <v>0</v>
      </c>
      <c r="AD68" s="12">
        <v>0</v>
      </c>
      <c r="AE68" s="12">
        <v>0</v>
      </c>
      <c r="AF68" s="12" t="s">
        <v>1083</v>
      </c>
      <c r="AG68" s="12">
        <v>0</v>
      </c>
      <c r="AH68" s="12">
        <v>0</v>
      </c>
      <c r="AI68" s="12">
        <v>7.88</v>
      </c>
      <c r="AJ68" s="12">
        <v>0</v>
      </c>
      <c r="AK68" s="12">
        <v>0</v>
      </c>
      <c r="AL68" s="12">
        <f t="shared" si="27"/>
        <v>7.88</v>
      </c>
      <c r="AM68" s="22">
        <f>15000+900</f>
        <v>15900</v>
      </c>
      <c r="AN68" s="22">
        <v>0</v>
      </c>
      <c r="AO68" s="22">
        <v>900</v>
      </c>
      <c r="AP68" s="22">
        <v>0</v>
      </c>
      <c r="AQ68" s="16">
        <v>25.5</v>
      </c>
      <c r="AR68" s="16">
        <v>1950</v>
      </c>
      <c r="AS68" s="12">
        <v>0</v>
      </c>
      <c r="AT68" s="12">
        <v>0</v>
      </c>
      <c r="AU68" s="12">
        <v>0</v>
      </c>
      <c r="AV68" s="12">
        <v>0</v>
      </c>
      <c r="AW68" s="12">
        <v>0</v>
      </c>
      <c r="AX68" s="12">
        <v>0</v>
      </c>
      <c r="AY68" s="12">
        <v>0</v>
      </c>
      <c r="AZ68" s="12">
        <v>0</v>
      </c>
      <c r="BA68" s="12">
        <v>0</v>
      </c>
      <c r="BB68" s="12">
        <v>0</v>
      </c>
      <c r="BC68" s="13">
        <f t="shared" si="33"/>
        <v>15900</v>
      </c>
      <c r="BD68" s="22">
        <f t="shared" si="34"/>
        <v>0</v>
      </c>
      <c r="BE68" s="22">
        <f t="shared" si="35"/>
        <v>900</v>
      </c>
      <c r="BF68" s="22">
        <f t="shared" si="36"/>
        <v>0</v>
      </c>
      <c r="BG68" s="16">
        <f t="shared" si="28"/>
        <v>25.5</v>
      </c>
      <c r="BH68" s="16">
        <f t="shared" si="44"/>
        <v>1950</v>
      </c>
      <c r="BI68" s="12" t="s">
        <v>660</v>
      </c>
      <c r="BJ68" s="12" t="s">
        <v>1079</v>
      </c>
      <c r="BK68" s="12" t="s">
        <v>661</v>
      </c>
      <c r="BL68" s="12">
        <v>9557155555</v>
      </c>
      <c r="BM68" s="12" t="s">
        <v>1080</v>
      </c>
      <c r="BN68" s="12" t="s">
        <v>794</v>
      </c>
      <c r="BO68" s="29" t="s">
        <v>1103</v>
      </c>
      <c r="BP68" s="18">
        <v>1.99</v>
      </c>
      <c r="BQ68" s="18">
        <v>5500</v>
      </c>
      <c r="BR68" s="22">
        <v>5500</v>
      </c>
      <c r="BS68" s="22">
        <v>23.25</v>
      </c>
      <c r="BT68" s="17">
        <v>1725</v>
      </c>
      <c r="BU68" s="12" t="s">
        <v>660</v>
      </c>
      <c r="BV68" s="12" t="s">
        <v>1079</v>
      </c>
      <c r="BW68" s="12" t="s">
        <v>661</v>
      </c>
      <c r="BX68" s="12">
        <v>9557155555</v>
      </c>
      <c r="BY68" s="12" t="s">
        <v>1080</v>
      </c>
      <c r="BZ68" s="12" t="s">
        <v>794</v>
      </c>
      <c r="CA68" s="29" t="s">
        <v>1103</v>
      </c>
      <c r="CB68" s="12">
        <v>8.7799999999999994</v>
      </c>
      <c r="CC68" s="12">
        <v>15000</v>
      </c>
      <c r="CD68" s="12">
        <v>10000</v>
      </c>
      <c r="CE68" s="18">
        <v>26.25</v>
      </c>
      <c r="CF68" s="12">
        <v>11650</v>
      </c>
      <c r="CG68" s="12">
        <v>7.5999999999999899</v>
      </c>
      <c r="CH68" s="19" t="s">
        <v>340</v>
      </c>
      <c r="CI68" s="19">
        <v>0</v>
      </c>
      <c r="CJ68" s="19">
        <v>0</v>
      </c>
      <c r="CK68" s="19">
        <v>0</v>
      </c>
      <c r="CL68" s="19">
        <v>0</v>
      </c>
      <c r="CM68" s="19">
        <v>0</v>
      </c>
      <c r="CN68" s="19">
        <v>0</v>
      </c>
      <c r="CO68" s="19">
        <v>0</v>
      </c>
      <c r="CP68" s="19">
        <v>0</v>
      </c>
      <c r="CQ68" s="19">
        <v>0</v>
      </c>
      <c r="CR68" s="19">
        <v>0</v>
      </c>
      <c r="CS68" s="19">
        <v>0</v>
      </c>
      <c r="CT68" s="19">
        <v>0</v>
      </c>
      <c r="CU68" s="12" t="s">
        <v>662</v>
      </c>
      <c r="CV68" s="31" t="s">
        <v>663</v>
      </c>
      <c r="CW68" s="31">
        <v>9857057900</v>
      </c>
      <c r="CX68" s="4" t="s">
        <v>1081</v>
      </c>
      <c r="CY68" s="31" t="s">
        <v>664</v>
      </c>
      <c r="CZ68" s="12">
        <v>1019</v>
      </c>
      <c r="DA68" s="12">
        <v>0</v>
      </c>
      <c r="DB68" s="12" t="s">
        <v>1082</v>
      </c>
      <c r="DC68" s="12">
        <v>165</v>
      </c>
      <c r="DD68" s="12">
        <v>75</v>
      </c>
      <c r="DE68" s="12">
        <v>75000</v>
      </c>
      <c r="DF68" s="21" t="str">
        <f t="shared" si="39"/>
        <v>Photos\New\BAREILLY.pptx</v>
      </c>
      <c r="DG68" s="21" t="str">
        <f t="shared" si="40"/>
        <v>Videos\New\BAREILLY</v>
      </c>
      <c r="DH68" s="21" t="str">
        <f t="shared" si="41"/>
        <v>Manpower\BAREILLY.pptx</v>
      </c>
    </row>
  </sheetData>
  <protectedRanges>
    <protectedRange algorithmName="SHA-512" hashValue="2ds6koFmX4duhDtpwvad0YJIys4Ud6UA/T+RRHlye4eY7F7hlbNRb6GOTRpx3X/M4ltjYn5PKPjdQLPM/+6Axg==" saltValue="jj70Gq+X0+h3dwKkgGnRgA==" spinCount="100000" sqref="N9" name="Range2_2"/>
    <protectedRange algorithmName="SHA-512" hashValue="2ds6koFmX4duhDtpwvad0YJIys4Ud6UA/T+RRHlye4eY7F7hlbNRb6GOTRpx3X/M4ltjYn5PKPjdQLPM/+6Axg==" saltValue="jj70Gq+X0+h3dwKkgGnRgA==" spinCount="100000" sqref="M10:N11 M13:N14 N12 U11:V11 U14:V14" name="Range2_3"/>
    <protectedRange sqref="N7 V7" name="Range2_2_1"/>
  </protectedRanges>
  <mergeCells count="7">
    <mergeCell ref="DF1:DH1"/>
    <mergeCell ref="BI1:BT1"/>
    <mergeCell ref="BU1:CG1"/>
    <mergeCell ref="B1:BH1"/>
    <mergeCell ref="CH1:CN1"/>
    <mergeCell ref="CO1:CT1"/>
    <mergeCell ref="CU1:DE1"/>
  </mergeCells>
  <conditionalFormatting sqref="A20:L21 N20:AP21 CU18:DB22 BV63:CD63 BW57:CD58 BV8:CD8 CA18:CD18 BW6 BV4:DG4 BW7:CD7 BV5:CM5 CO5:DG5 CL8:DB9 A6:AP19 CL15:DB17 CL18:CO19 CK20:CO22 CL53:DB59 A4:BT5 BG64:BG68 BR61:BR64 BO64:BO66 A22:AP64 AS61:BP64 A3:DG3 AQ6:AR68 AS7:BR60 BU58 BU9:CD17 BU19:CD56 BU59:CD62 BU64:CD64 BU6:BU7 AS6:BT6 BS7:BT68 CH23:DB52 CH10:DB14 CH19:CI22 CH7:DB7 CH15:CJ18 CH8:CJ9 CH53:CJ59 CH60:DB64 BY6:CF6 CE7:CF68 CH6:CM6 CG6:CG68 CO6:DB6 DF6:DG64 DC6:DE68">
    <cfRule type="containsBlanks" dxfId="39" priority="42">
      <formula>LEN(TRIM(A3))=0</formula>
    </cfRule>
  </conditionalFormatting>
  <conditionalFormatting sqref="DH3:DH64">
    <cfRule type="containsBlanks" dxfId="38" priority="41">
      <formula>LEN(TRIM(DH3))=0</formula>
    </cfRule>
  </conditionalFormatting>
  <conditionalFormatting sqref="M20:M21">
    <cfRule type="containsBlanks" dxfId="37" priority="40">
      <formula>LEN(TRIM(M20))=0</formula>
    </cfRule>
  </conditionalFormatting>
  <conditionalFormatting sqref="BK20:BK21">
    <cfRule type="containsBlanks" dxfId="36" priority="39">
      <formula>LEN(TRIM(BK20))=0</formula>
    </cfRule>
  </conditionalFormatting>
  <conditionalFormatting sqref="BL20:BL21">
    <cfRule type="containsBlanks" dxfId="35" priority="38">
      <formula>LEN(TRIM(BL20))=0</formula>
    </cfRule>
  </conditionalFormatting>
  <conditionalFormatting sqref="CJ19:CJ22">
    <cfRule type="containsBlanks" dxfId="34" priority="37">
      <formula>LEN(TRIM(CJ19))=0</formula>
    </cfRule>
  </conditionalFormatting>
  <conditionalFormatting sqref="CP18:CT22">
    <cfRule type="containsBlanks" dxfId="33" priority="36">
      <formula>LEN(TRIM(CP18))=0</formula>
    </cfRule>
  </conditionalFormatting>
  <conditionalFormatting sqref="BU57">
    <cfRule type="containsBlanks" dxfId="32" priority="35">
      <formula>LEN(TRIM(BU57))=0</formula>
    </cfRule>
  </conditionalFormatting>
  <conditionalFormatting sqref="BU8">
    <cfRule type="containsBlanks" dxfId="31" priority="34">
      <formula>LEN(TRIM(BU8))=0</formula>
    </cfRule>
  </conditionalFormatting>
  <conditionalFormatting sqref="BV57">
    <cfRule type="containsBlanks" dxfId="30" priority="33">
      <formula>LEN(TRIM(BV57))=0</formula>
    </cfRule>
  </conditionalFormatting>
  <conditionalFormatting sqref="BU4">
    <cfRule type="containsBlanks" dxfId="29" priority="32">
      <formula>LEN(TRIM(BU4))=0</formula>
    </cfRule>
  </conditionalFormatting>
  <conditionalFormatting sqref="BU18 BW18:BZ18">
    <cfRule type="containsBlanks" dxfId="28" priority="31">
      <formula>LEN(TRIM(BU18))=0</formula>
    </cfRule>
  </conditionalFormatting>
  <conditionalFormatting sqref="CK53:CK59 CK15:CK19 CK8:CK9">
    <cfRule type="containsBlanks" dxfId="27" priority="30">
      <formula>LEN(TRIM(CK8))=0</formula>
    </cfRule>
  </conditionalFormatting>
  <conditionalFormatting sqref="CN5:CN6">
    <cfRule type="containsBlanks" dxfId="26" priority="29">
      <formula>LEN(TRIM(CN5))=0</formula>
    </cfRule>
  </conditionalFormatting>
  <conditionalFormatting sqref="A67 C67:D67 P67:V67 BI67:BN67 BP67 BV67:CD67 BD65:BP66 BH65:BH68 A68:AE68 AG68:AP68 AL65:AL68 BD68:BP68 BR68 A65:AE66 AG65:AP66 BD65:BF68 BR65:BR66 CY66:DB66 CB65:CD65 AS65:BB66 AS68:BB68 BU66:CD66 BU65:BZ65 BU68:CD68 CH68:DB68 CH66:CU66 CH65:DB65 CH67:CT67 DF68:DG68">
    <cfRule type="containsBlanks" dxfId="25" priority="28">
      <formula>LEN(TRIM(A65))=0</formula>
    </cfRule>
  </conditionalFormatting>
  <conditionalFormatting sqref="DH68">
    <cfRule type="containsBlanks" dxfId="24" priority="27">
      <formula>LEN(TRIM(DH68))=0</formula>
    </cfRule>
  </conditionalFormatting>
  <conditionalFormatting sqref="B67">
    <cfRule type="containsBlanks" dxfId="23" priority="26">
      <formula>LEN(TRIM(B67))=0</formula>
    </cfRule>
  </conditionalFormatting>
  <conditionalFormatting sqref="E67">
    <cfRule type="containsBlanks" dxfId="22" priority="25">
      <formula>LEN(TRIM(E67))=0</formula>
    </cfRule>
  </conditionalFormatting>
  <conditionalFormatting sqref="F67:O67">
    <cfRule type="containsBlanks" dxfId="21" priority="24">
      <formula>LEN(TRIM(F67))=0</formula>
    </cfRule>
  </conditionalFormatting>
  <conditionalFormatting sqref="W67:AP67 BD67:BG67 AS67:BB67">
    <cfRule type="containsBlanks" dxfId="20" priority="23">
      <formula>LEN(TRIM(W67))=0</formula>
    </cfRule>
  </conditionalFormatting>
  <conditionalFormatting sqref="BH67">
    <cfRule type="containsBlanks" dxfId="19" priority="22">
      <formula>LEN(TRIM(BH67))=0</formula>
    </cfRule>
  </conditionalFormatting>
  <conditionalFormatting sqref="BO67">
    <cfRule type="containsBlanks" dxfId="18" priority="21">
      <formula>LEN(TRIM(BO67))=0</formula>
    </cfRule>
  </conditionalFormatting>
  <conditionalFormatting sqref="BR67">
    <cfRule type="containsBlanks" dxfId="17" priority="19">
      <formula>LEN(TRIM(BR67))=0</formula>
    </cfRule>
  </conditionalFormatting>
  <conditionalFormatting sqref="BU67">
    <cfRule type="containsBlanks" dxfId="16" priority="18">
      <formula>LEN(TRIM(BU67))=0</formula>
    </cfRule>
  </conditionalFormatting>
  <conditionalFormatting sqref="CU67:DB67">
    <cfRule type="containsBlanks" dxfId="15" priority="17">
      <formula>LEN(TRIM(CU67))=0</formula>
    </cfRule>
  </conditionalFormatting>
  <conditionalFormatting sqref="DF67:DG68">
    <cfRule type="containsBlanks" dxfId="14" priority="16">
      <formula>LEN(TRIM(DF67))=0</formula>
    </cfRule>
  </conditionalFormatting>
  <conditionalFormatting sqref="DH67:DH68">
    <cfRule type="containsBlanks" dxfId="13" priority="15">
      <formula>LEN(TRIM(DH67))=0</formula>
    </cfRule>
  </conditionalFormatting>
  <conditionalFormatting sqref="AF65">
    <cfRule type="containsBlanks" dxfId="12" priority="14">
      <formula>LEN(TRIM(AF65))=0</formula>
    </cfRule>
  </conditionalFormatting>
  <conditionalFormatting sqref="BC65:BC68">
    <cfRule type="containsBlanks" dxfId="11" priority="13">
      <formula>LEN(TRIM(BC65))=0</formula>
    </cfRule>
  </conditionalFormatting>
  <conditionalFormatting sqref="AF68">
    <cfRule type="containsBlanks" dxfId="10" priority="12">
      <formula>LEN(TRIM(AF68))=0</formula>
    </cfRule>
  </conditionalFormatting>
  <conditionalFormatting sqref="BQ61:BQ68">
    <cfRule type="containsBlanks" dxfId="9" priority="11">
      <formula>LEN(TRIM(BQ61))=0</formula>
    </cfRule>
  </conditionalFormatting>
  <conditionalFormatting sqref="DF66:DG66">
    <cfRule type="containsBlanks" dxfId="8" priority="10">
      <formula>LEN(TRIM(DF66))=0</formula>
    </cfRule>
  </conditionalFormatting>
  <conditionalFormatting sqref="DH66">
    <cfRule type="containsBlanks" dxfId="7" priority="9">
      <formula>LEN(TRIM(DH66))=0</formula>
    </cfRule>
  </conditionalFormatting>
  <conditionalFormatting sqref="DF65:DG65">
    <cfRule type="containsBlanks" dxfId="6" priority="8">
      <formula>LEN(TRIM(DF65))=0</formula>
    </cfRule>
  </conditionalFormatting>
  <conditionalFormatting sqref="DH65">
    <cfRule type="containsBlanks" dxfId="5" priority="7">
      <formula>LEN(TRIM(DH65))=0</formula>
    </cfRule>
  </conditionalFormatting>
  <conditionalFormatting sqref="AF66">
    <cfRule type="containsBlanks" dxfId="4" priority="6">
      <formula>LEN(TRIM(AF66))=0</formula>
    </cfRule>
  </conditionalFormatting>
  <conditionalFormatting sqref="CX66">
    <cfRule type="containsBlanks" dxfId="3" priority="4">
      <formula>LEN(TRIM(CX66))=0</formula>
    </cfRule>
  </conditionalFormatting>
  <conditionalFormatting sqref="CW66">
    <cfRule type="containsBlanks" dxfId="2" priority="3">
      <formula>LEN(TRIM(CW66))=0</formula>
    </cfRule>
  </conditionalFormatting>
  <conditionalFormatting sqref="CV66">
    <cfRule type="containsBlanks" dxfId="1" priority="2">
      <formula>LEN(TRIM(CV66))=0</formula>
    </cfRule>
  </conditionalFormatting>
  <conditionalFormatting sqref="CA65">
    <cfRule type="containsBlanks" dxfId="0" priority="1">
      <formula>LEN(TRIM(CA65))=0</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F63"/>
  <sheetViews>
    <sheetView zoomScaleNormal="100" workbookViewId="0">
      <selection activeCell="E53" sqref="E53"/>
    </sheetView>
  </sheetViews>
  <sheetFormatPr defaultRowHeight="14.5" x14ac:dyDescent="0.35"/>
  <cols>
    <col min="2" max="2" width="33.453125" customWidth="1"/>
    <col min="3" max="3" width="12.6328125" bestFit="1" customWidth="1"/>
    <col min="5" max="5" width="3" bestFit="1" customWidth="1"/>
    <col min="6" max="6" width="12.453125" bestFit="1" customWidth="1"/>
  </cols>
  <sheetData>
    <row r="2" spans="1:6" ht="15.5" x14ac:dyDescent="0.35">
      <c r="A2" s="2" t="e">
        <f>IF(B2="","",MAX(A$1:A1)+1)</f>
        <v>#REF!</v>
      </c>
      <c r="B2" s="1" t="e">
        <f>IF(VLOOKUP(#REF!,#REF!,E2,FALSE)=#REF!,F2,"")</f>
        <v>#REF!</v>
      </c>
      <c r="C2" s="2"/>
      <c r="E2">
        <v>2</v>
      </c>
      <c r="F2" s="3" t="s">
        <v>44</v>
      </c>
    </row>
    <row r="3" spans="1:6" ht="15.5" x14ac:dyDescent="0.35">
      <c r="A3" s="2" t="e">
        <f>IF(B3="","",MAX(A$1:A2)+1)</f>
        <v>#REF!</v>
      </c>
      <c r="B3" s="1" t="e">
        <f>IF(VLOOKUP(#REF!,#REF!,E3,FALSE)=#REF!,F3,"")</f>
        <v>#REF!</v>
      </c>
      <c r="C3" s="2"/>
      <c r="E3">
        <v>3</v>
      </c>
      <c r="F3" s="3" t="s">
        <v>50</v>
      </c>
    </row>
    <row r="4" spans="1:6" ht="15.5" x14ac:dyDescent="0.35">
      <c r="A4" s="2" t="e">
        <f>IF(B4="","",MAX(A$1:A3)+1)</f>
        <v>#REF!</v>
      </c>
      <c r="B4" s="1" t="e">
        <f>IF(VLOOKUP(#REF!,#REF!,E4,FALSE)=#REF!,F4,"")</f>
        <v>#REF!</v>
      </c>
      <c r="C4" s="2"/>
      <c r="E4">
        <v>4</v>
      </c>
      <c r="F4" s="3" t="s">
        <v>51</v>
      </c>
    </row>
    <row r="5" spans="1:6" ht="15.5" x14ac:dyDescent="0.35">
      <c r="A5" s="2" t="e">
        <f>IF(B5="","",MAX(A$1:A4)+1)</f>
        <v>#REF!</v>
      </c>
      <c r="B5" s="1" t="e">
        <f>IF(VLOOKUP(#REF!,#REF!,E5,FALSE)=#REF!,F5,"")</f>
        <v>#REF!</v>
      </c>
      <c r="C5" s="2" t="str">
        <f t="shared" ref="C5:C63" si="0">IFERROR(INDEX($B$2:$B$11,MATCH(ROW()-ROW($D$1),$A$2:$A$11,0)),"")</f>
        <v/>
      </c>
      <c r="E5">
        <v>5</v>
      </c>
      <c r="F5" s="3" t="s">
        <v>52</v>
      </c>
    </row>
    <row r="6" spans="1:6" ht="15.5" x14ac:dyDescent="0.35">
      <c r="A6" s="2" t="e">
        <f>IF(B6="","",MAX(A$1:A5)+1)</f>
        <v>#REF!</v>
      </c>
      <c r="B6" s="1" t="e">
        <f>IF(VLOOKUP(#REF!,#REF!,E6,FALSE)=#REF!,F6,"")</f>
        <v>#REF!</v>
      </c>
      <c r="C6" s="2" t="str">
        <f t="shared" si="0"/>
        <v/>
      </c>
      <c r="E6">
        <v>6</v>
      </c>
      <c r="F6" s="3" t="s">
        <v>53</v>
      </c>
    </row>
    <row r="7" spans="1:6" ht="15.5" x14ac:dyDescent="0.35">
      <c r="A7" s="2" t="e">
        <f>IF(B7="","",MAX(A$1:A6)+1)</f>
        <v>#REF!</v>
      </c>
      <c r="B7" s="1" t="e">
        <f>IF(VLOOKUP(#REF!,#REF!,E7,FALSE)=#REF!,F7,"")</f>
        <v>#REF!</v>
      </c>
      <c r="C7" s="2" t="str">
        <f t="shared" si="0"/>
        <v/>
      </c>
      <c r="E7">
        <v>7</v>
      </c>
      <c r="F7" s="3" t="s">
        <v>54</v>
      </c>
    </row>
    <row r="8" spans="1:6" ht="15.5" x14ac:dyDescent="0.35">
      <c r="A8" s="2" t="e">
        <f>IF(B8="","",MAX(A$1:A7)+1)</f>
        <v>#REF!</v>
      </c>
      <c r="B8" s="1" t="e">
        <f>IF(VLOOKUP(#REF!,#REF!,E8,FALSE)=#REF!,F8,"")</f>
        <v>#REF!</v>
      </c>
      <c r="C8" s="2" t="str">
        <f t="shared" si="0"/>
        <v/>
      </c>
      <c r="E8">
        <v>8</v>
      </c>
      <c r="F8" s="3" t="s">
        <v>55</v>
      </c>
    </row>
    <row r="9" spans="1:6" ht="15.5" x14ac:dyDescent="0.35">
      <c r="A9" s="2" t="e">
        <f>IF(B9="","",MAX(A$1:A8)+1)</f>
        <v>#REF!</v>
      </c>
      <c r="B9" s="1" t="e">
        <f>IF(VLOOKUP(#REF!,#REF!,E9,FALSE)=#REF!,F9,"")</f>
        <v>#REF!</v>
      </c>
      <c r="C9" s="2" t="str">
        <f t="shared" si="0"/>
        <v/>
      </c>
      <c r="E9">
        <v>9</v>
      </c>
      <c r="F9" s="3" t="s">
        <v>56</v>
      </c>
    </row>
    <row r="10" spans="1:6" ht="15.5" x14ac:dyDescent="0.35">
      <c r="A10" s="2" t="e">
        <f>IF(B10="","",MAX(A$1:A9)+1)</f>
        <v>#REF!</v>
      </c>
      <c r="B10" s="1" t="e">
        <f>IF(VLOOKUP(#REF!,#REF!,E10,FALSE)=#REF!,F10,"")</f>
        <v>#REF!</v>
      </c>
      <c r="C10" s="2" t="str">
        <f t="shared" si="0"/>
        <v/>
      </c>
      <c r="E10">
        <v>10</v>
      </c>
      <c r="F10" s="3" t="s">
        <v>57</v>
      </c>
    </row>
    <row r="11" spans="1:6" ht="15.5" x14ac:dyDescent="0.35">
      <c r="A11" s="2" t="e">
        <f>IF(B11="","",MAX(A$1:A10)+1)</f>
        <v>#REF!</v>
      </c>
      <c r="B11" s="1" t="e">
        <f>IF(VLOOKUP(#REF!,#REF!,E11,FALSE)=#REF!,F11,"")</f>
        <v>#REF!</v>
      </c>
      <c r="C11" s="2" t="str">
        <f t="shared" si="0"/>
        <v/>
      </c>
      <c r="E11">
        <v>11</v>
      </c>
      <c r="F11" s="3" t="s">
        <v>58</v>
      </c>
    </row>
    <row r="12" spans="1:6" ht="15.5" x14ac:dyDescent="0.35">
      <c r="A12" s="2" t="e">
        <f>IF(B12="","",MAX(A$1:A11)+1)</f>
        <v>#REF!</v>
      </c>
      <c r="B12" s="1" t="e">
        <f>IF(VLOOKUP(#REF!,#REF!,E12,FALSE)=#REF!,F12,"")</f>
        <v>#REF!</v>
      </c>
      <c r="C12" s="2" t="str">
        <f t="shared" si="0"/>
        <v/>
      </c>
      <c r="E12">
        <v>12</v>
      </c>
      <c r="F12" s="3" t="s">
        <v>59</v>
      </c>
    </row>
    <row r="13" spans="1:6" ht="15.5" x14ac:dyDescent="0.35">
      <c r="A13" s="2" t="e">
        <f>IF(B13="","",MAX(A$1:A12)+1)</f>
        <v>#REF!</v>
      </c>
      <c r="B13" s="1" t="e">
        <f>IF(VLOOKUP(#REF!,#REF!,E13,FALSE)=#REF!,F13,"")</f>
        <v>#REF!</v>
      </c>
      <c r="C13" s="2" t="str">
        <f t="shared" si="0"/>
        <v/>
      </c>
      <c r="E13">
        <v>13</v>
      </c>
      <c r="F13" s="3" t="s">
        <v>45</v>
      </c>
    </row>
    <row r="14" spans="1:6" ht="15.5" x14ac:dyDescent="0.35">
      <c r="A14" s="2" t="e">
        <f>IF(B14="","",MAX(A$1:A13)+1)</f>
        <v>#REF!</v>
      </c>
      <c r="B14" s="1" t="e">
        <f>IF(VLOOKUP(#REF!,#REF!,E14,FALSE)=#REF!,F14,"")</f>
        <v>#REF!</v>
      </c>
      <c r="C14" s="2" t="str">
        <f t="shared" si="0"/>
        <v/>
      </c>
      <c r="E14">
        <v>14</v>
      </c>
      <c r="F14" s="3" t="s">
        <v>60</v>
      </c>
    </row>
    <row r="15" spans="1:6" ht="15.5" x14ac:dyDescent="0.35">
      <c r="A15" s="2" t="e">
        <f>IF(B15="","",MAX(A$1:A14)+1)</f>
        <v>#REF!</v>
      </c>
      <c r="B15" s="1" t="e">
        <f>IF(VLOOKUP(#REF!,#REF!,E15,FALSE)=#REF!,F15,"")</f>
        <v>#REF!</v>
      </c>
      <c r="C15" s="2" t="str">
        <f t="shared" si="0"/>
        <v/>
      </c>
      <c r="E15">
        <v>15</v>
      </c>
      <c r="F15" s="3" t="s">
        <v>61</v>
      </c>
    </row>
    <row r="16" spans="1:6" ht="15.5" x14ac:dyDescent="0.35">
      <c r="A16" s="2" t="e">
        <f>IF(B16="","",MAX(A$1:A15)+1)</f>
        <v>#REF!</v>
      </c>
      <c r="B16" s="1" t="e">
        <f>IF(VLOOKUP(#REF!,#REF!,E16,FALSE)=#REF!,F16,"")</f>
        <v>#REF!</v>
      </c>
      <c r="C16" s="2" t="str">
        <f t="shared" si="0"/>
        <v/>
      </c>
      <c r="E16">
        <v>16</v>
      </c>
      <c r="F16" s="3" t="s">
        <v>62</v>
      </c>
    </row>
    <row r="17" spans="1:6" ht="15.5" x14ac:dyDescent="0.35">
      <c r="A17" s="2" t="e">
        <f>IF(B17="","",MAX(A$1:A16)+1)</f>
        <v>#REF!</v>
      </c>
      <c r="B17" s="1" t="e">
        <f>IF(VLOOKUP(#REF!,#REF!,E17,FALSE)=#REF!,F17,"")</f>
        <v>#REF!</v>
      </c>
      <c r="C17" s="2" t="str">
        <f t="shared" si="0"/>
        <v/>
      </c>
      <c r="E17">
        <v>17</v>
      </c>
      <c r="F17" s="3" t="s">
        <v>63</v>
      </c>
    </row>
    <row r="18" spans="1:6" ht="15.5" x14ac:dyDescent="0.35">
      <c r="A18" s="2" t="e">
        <f>IF(B18="","",MAX(A$1:A17)+1)</f>
        <v>#REF!</v>
      </c>
      <c r="B18" s="1" t="e">
        <f>IF(VLOOKUP(#REF!,#REF!,E18,FALSE)=#REF!,F18,"")</f>
        <v>#REF!</v>
      </c>
      <c r="C18" s="2" t="str">
        <f t="shared" si="0"/>
        <v/>
      </c>
      <c r="E18">
        <v>18</v>
      </c>
      <c r="F18" s="3" t="s">
        <v>64</v>
      </c>
    </row>
    <row r="19" spans="1:6" ht="15.5" x14ac:dyDescent="0.35">
      <c r="A19" s="2" t="e">
        <f>IF(B19="","",MAX(A$1:A18)+1)</f>
        <v>#REF!</v>
      </c>
      <c r="B19" s="1" t="e">
        <f>IF(VLOOKUP(#REF!,#REF!,E19,FALSE)=#REF!,F19,"")</f>
        <v>#REF!</v>
      </c>
      <c r="C19" s="2" t="str">
        <f t="shared" si="0"/>
        <v/>
      </c>
      <c r="E19">
        <v>19</v>
      </c>
      <c r="F19" s="3" t="s">
        <v>46</v>
      </c>
    </row>
    <row r="20" spans="1:6" ht="15.5" x14ac:dyDescent="0.35">
      <c r="A20" s="2" t="e">
        <f>IF(B20="","",MAX(A$1:A19)+1)</f>
        <v>#REF!</v>
      </c>
      <c r="B20" s="1" t="e">
        <f>IF(VLOOKUP(#REF!,#REF!,E20,FALSE)=#REF!,F20,"")</f>
        <v>#REF!</v>
      </c>
      <c r="C20" s="2" t="str">
        <f t="shared" si="0"/>
        <v/>
      </c>
      <c r="E20">
        <v>20</v>
      </c>
      <c r="F20" s="3" t="s">
        <v>65</v>
      </c>
    </row>
    <row r="21" spans="1:6" ht="15.5" x14ac:dyDescent="0.35">
      <c r="A21" s="2" t="e">
        <f>IF(B21="","",MAX(A$1:A20)+1)</f>
        <v>#REF!</v>
      </c>
      <c r="B21" s="1" t="e">
        <f>IF(VLOOKUP(#REF!,#REF!,E21,FALSE)=#REF!,F21,"")</f>
        <v>#REF!</v>
      </c>
      <c r="C21" s="2" t="str">
        <f t="shared" si="0"/>
        <v/>
      </c>
      <c r="E21">
        <v>21</v>
      </c>
      <c r="F21" s="3" t="s">
        <v>66</v>
      </c>
    </row>
    <row r="22" spans="1:6" ht="15.5" x14ac:dyDescent="0.35">
      <c r="A22" s="2" t="e">
        <f>IF(B22="","",MAX(A$1:A21)+1)</f>
        <v>#REF!</v>
      </c>
      <c r="B22" s="1" t="e">
        <f>IF(VLOOKUP(#REF!,#REF!,E22,FALSE)=#REF!,F22,"")</f>
        <v>#REF!</v>
      </c>
      <c r="C22" s="2" t="str">
        <f t="shared" si="0"/>
        <v/>
      </c>
      <c r="E22">
        <v>22</v>
      </c>
      <c r="F22" s="3" t="s">
        <v>67</v>
      </c>
    </row>
    <row r="23" spans="1:6" ht="15.5" x14ac:dyDescent="0.35">
      <c r="A23" s="2" t="e">
        <f>IF(B23="","",MAX(A$1:A22)+1)</f>
        <v>#REF!</v>
      </c>
      <c r="B23" s="1" t="e">
        <f>IF(VLOOKUP(#REF!,#REF!,E23,FALSE)=#REF!,F23,"")</f>
        <v>#REF!</v>
      </c>
      <c r="C23" s="2" t="str">
        <f t="shared" si="0"/>
        <v/>
      </c>
      <c r="E23">
        <v>23</v>
      </c>
      <c r="F23" s="3" t="s">
        <v>68</v>
      </c>
    </row>
    <row r="24" spans="1:6" ht="15.5" x14ac:dyDescent="0.35">
      <c r="A24" s="2" t="e">
        <f>IF(B24="","",MAX(A$1:A23)+1)</f>
        <v>#REF!</v>
      </c>
      <c r="B24" s="1" t="e">
        <f>IF(VLOOKUP(#REF!,#REF!,E24,FALSE)=#REF!,F24,"")</f>
        <v>#REF!</v>
      </c>
      <c r="C24" s="2" t="str">
        <f t="shared" si="0"/>
        <v/>
      </c>
      <c r="E24">
        <v>24</v>
      </c>
      <c r="F24" s="3" t="s">
        <v>38</v>
      </c>
    </row>
    <row r="25" spans="1:6" ht="15.5" x14ac:dyDescent="0.35">
      <c r="A25" s="2" t="e">
        <f>IF(B25="","",MAX(A$1:A24)+1)</f>
        <v>#REF!</v>
      </c>
      <c r="B25" s="1" t="e">
        <f>IF(VLOOKUP(#REF!,#REF!,E25,FALSE)=#REF!,F25,"")</f>
        <v>#REF!</v>
      </c>
      <c r="C25" s="2" t="str">
        <f t="shared" si="0"/>
        <v/>
      </c>
      <c r="E25">
        <v>25</v>
      </c>
      <c r="F25" s="3" t="s">
        <v>40</v>
      </c>
    </row>
    <row r="26" spans="1:6" ht="15.5" x14ac:dyDescent="0.35">
      <c r="A26" s="2" t="e">
        <f>IF(B26="","",MAX(A$1:A25)+1)</f>
        <v>#REF!</v>
      </c>
      <c r="B26" s="1" t="e">
        <f>IF(VLOOKUP(#REF!,#REF!,E26,FALSE)=#REF!,F26,"")</f>
        <v>#REF!</v>
      </c>
      <c r="C26" s="2" t="str">
        <f t="shared" si="0"/>
        <v/>
      </c>
      <c r="E26">
        <v>26</v>
      </c>
      <c r="F26" s="3" t="s">
        <v>41</v>
      </c>
    </row>
    <row r="27" spans="1:6" ht="15.5" x14ac:dyDescent="0.35">
      <c r="A27" s="2" t="e">
        <f>IF(B27="","",MAX(A$1:A26)+1)</f>
        <v>#REF!</v>
      </c>
      <c r="B27" s="1" t="e">
        <f>IF(VLOOKUP(#REF!,#REF!,E27,FALSE)=#REF!,F27,"")</f>
        <v>#REF!</v>
      </c>
      <c r="C27" s="2" t="str">
        <f t="shared" si="0"/>
        <v/>
      </c>
      <c r="E27">
        <v>27</v>
      </c>
      <c r="F27" s="3" t="s">
        <v>42</v>
      </c>
    </row>
    <row r="28" spans="1:6" ht="15.5" x14ac:dyDescent="0.35">
      <c r="A28" s="2" t="e">
        <f>IF(B28="","",MAX(A$1:A27)+1)</f>
        <v>#REF!</v>
      </c>
      <c r="B28" s="1" t="e">
        <f>IF(VLOOKUP(#REF!,#REF!,E28,FALSE)=#REF!,F28,"")</f>
        <v>#REF!</v>
      </c>
      <c r="C28" s="2" t="str">
        <f t="shared" si="0"/>
        <v/>
      </c>
      <c r="E28">
        <v>28</v>
      </c>
      <c r="F28" s="3" t="s">
        <v>35</v>
      </c>
    </row>
    <row r="29" spans="1:6" ht="15.5" x14ac:dyDescent="0.35">
      <c r="A29" s="2" t="e">
        <f>IF(B29="","",MAX(A$1:A28)+1)</f>
        <v>#REF!</v>
      </c>
      <c r="B29" s="1" t="e">
        <f>IF(VLOOKUP(#REF!,#REF!,E29,FALSE)=#REF!,F29,"")</f>
        <v>#REF!</v>
      </c>
      <c r="C29" s="2" t="str">
        <f t="shared" si="0"/>
        <v/>
      </c>
      <c r="E29">
        <v>29</v>
      </c>
      <c r="F29" s="3" t="s">
        <v>69</v>
      </c>
    </row>
    <row r="30" spans="1:6" ht="15.5" x14ac:dyDescent="0.35">
      <c r="A30" s="2" t="e">
        <f>IF(B30="","",MAX(A$1:A29)+1)</f>
        <v>#REF!</v>
      </c>
      <c r="B30" s="1" t="e">
        <f>IF(VLOOKUP(#REF!,#REF!,E30,FALSE)=#REF!,F30,"")</f>
        <v>#REF!</v>
      </c>
      <c r="C30" s="2" t="str">
        <f t="shared" si="0"/>
        <v/>
      </c>
      <c r="E30">
        <v>30</v>
      </c>
      <c r="F30" s="3" t="s">
        <v>70</v>
      </c>
    </row>
    <row r="31" spans="1:6" ht="15.5" x14ac:dyDescent="0.35">
      <c r="A31" s="2" t="e">
        <f>IF(B31="","",MAX(A$1:A30)+1)</f>
        <v>#REF!</v>
      </c>
      <c r="B31" s="1" t="e">
        <f>IF(VLOOKUP(#REF!,#REF!,E31,FALSE)=#REF!,F31,"")</f>
        <v>#REF!</v>
      </c>
      <c r="C31" s="2" t="str">
        <f t="shared" si="0"/>
        <v/>
      </c>
      <c r="E31">
        <v>31</v>
      </c>
      <c r="F31" s="3" t="s">
        <v>39</v>
      </c>
    </row>
    <row r="32" spans="1:6" ht="15.5" x14ac:dyDescent="0.35">
      <c r="A32" s="2" t="e">
        <f>IF(B32="","",MAX(A$1:A31)+1)</f>
        <v>#REF!</v>
      </c>
      <c r="B32" s="1" t="e">
        <f>IF(VLOOKUP(#REF!,#REF!,E32,FALSE)=#REF!,F32,"")</f>
        <v>#REF!</v>
      </c>
      <c r="C32" s="2" t="str">
        <f t="shared" si="0"/>
        <v/>
      </c>
      <c r="E32">
        <v>32</v>
      </c>
      <c r="F32" s="3" t="s">
        <v>71</v>
      </c>
    </row>
    <row r="33" spans="1:6" ht="15.5" x14ac:dyDescent="0.35">
      <c r="A33" s="2" t="e">
        <f>IF(B33="","",MAX(A$1:A32)+1)</f>
        <v>#REF!</v>
      </c>
      <c r="B33" s="1" t="e">
        <f>IF(VLOOKUP(#REF!,#REF!,E33,FALSE)=#REF!,F33,"")</f>
        <v>#REF!</v>
      </c>
      <c r="C33" s="2" t="str">
        <f t="shared" si="0"/>
        <v/>
      </c>
      <c r="E33">
        <v>33</v>
      </c>
      <c r="F33" s="3" t="s">
        <v>47</v>
      </c>
    </row>
    <row r="34" spans="1:6" ht="15.5" x14ac:dyDescent="0.35">
      <c r="A34" s="2" t="e">
        <f>IF(B34="","",MAX(A$1:A33)+1)</f>
        <v>#REF!</v>
      </c>
      <c r="B34" s="1" t="e">
        <f>IF(VLOOKUP(#REF!,#REF!,E34,FALSE)=#REF!,F34,"")</f>
        <v>#REF!</v>
      </c>
      <c r="C34" s="2" t="str">
        <f t="shared" si="0"/>
        <v/>
      </c>
      <c r="E34">
        <v>34</v>
      </c>
      <c r="F34" s="3" t="s">
        <v>72</v>
      </c>
    </row>
    <row r="35" spans="1:6" ht="15.5" x14ac:dyDescent="0.35">
      <c r="A35" s="2" t="e">
        <f>IF(B35="","",MAX(A$1:A34)+1)</f>
        <v>#REF!</v>
      </c>
      <c r="B35" s="1" t="e">
        <f>IF(VLOOKUP(#REF!,#REF!,E35,FALSE)=#REF!,F35,"")</f>
        <v>#REF!</v>
      </c>
      <c r="C35" s="2" t="str">
        <f t="shared" si="0"/>
        <v/>
      </c>
      <c r="E35">
        <v>35</v>
      </c>
      <c r="F35" s="3" t="s">
        <v>73</v>
      </c>
    </row>
    <row r="36" spans="1:6" ht="15.5" x14ac:dyDescent="0.35">
      <c r="A36" s="2" t="e">
        <f>IF(B36="","",MAX(A$1:A35)+1)</f>
        <v>#REF!</v>
      </c>
      <c r="B36" s="1" t="e">
        <f>IF(VLOOKUP(#REF!,#REF!,E36,FALSE)=#REF!,F36,"")</f>
        <v>#REF!</v>
      </c>
      <c r="C36" s="2" t="str">
        <f t="shared" si="0"/>
        <v/>
      </c>
      <c r="E36">
        <v>36</v>
      </c>
      <c r="F36" s="3" t="s">
        <v>74</v>
      </c>
    </row>
    <row r="37" spans="1:6" ht="15.5" x14ac:dyDescent="0.35">
      <c r="A37" s="2" t="e">
        <f>IF(B37="","",MAX(A$1:A36)+1)</f>
        <v>#REF!</v>
      </c>
      <c r="B37" s="1" t="e">
        <f>IF(VLOOKUP(#REF!,#REF!,E37,FALSE)=#REF!,F37,"")</f>
        <v>#REF!</v>
      </c>
      <c r="C37" s="2" t="str">
        <f t="shared" si="0"/>
        <v/>
      </c>
      <c r="E37">
        <v>37</v>
      </c>
      <c r="F37" s="3" t="s">
        <v>75</v>
      </c>
    </row>
    <row r="38" spans="1:6" ht="15.5" x14ac:dyDescent="0.35">
      <c r="A38" s="2" t="e">
        <f>IF(B38="","",MAX(A$1:A37)+1)</f>
        <v>#REF!</v>
      </c>
      <c r="B38" s="1" t="e">
        <f>IF(VLOOKUP(#REF!,#REF!,E38,FALSE)=#REF!,F38,"")</f>
        <v>#REF!</v>
      </c>
      <c r="C38" s="2" t="str">
        <f t="shared" si="0"/>
        <v/>
      </c>
      <c r="E38">
        <v>38</v>
      </c>
      <c r="F38" s="3" t="s">
        <v>76</v>
      </c>
    </row>
    <row r="39" spans="1:6" ht="15.5" x14ac:dyDescent="0.35">
      <c r="A39" s="2" t="e">
        <f>IF(B39="","",MAX(A$1:A38)+1)</f>
        <v>#REF!</v>
      </c>
      <c r="B39" s="1" t="e">
        <f>IF(VLOOKUP(#REF!,#REF!,E39,FALSE)=#REF!,F39,"")</f>
        <v>#REF!</v>
      </c>
      <c r="C39" s="2" t="str">
        <f t="shared" si="0"/>
        <v/>
      </c>
      <c r="E39">
        <v>39</v>
      </c>
      <c r="F39" s="3" t="s">
        <v>48</v>
      </c>
    </row>
    <row r="40" spans="1:6" ht="15.5" x14ac:dyDescent="0.35">
      <c r="A40" s="2" t="e">
        <f>IF(B40="","",MAX(A$1:A39)+1)</f>
        <v>#REF!</v>
      </c>
      <c r="B40" s="1" t="e">
        <f>IF(VLOOKUP(#REF!,#REF!,E40,FALSE)=#REF!,F40,"")</f>
        <v>#REF!</v>
      </c>
      <c r="C40" s="2" t="str">
        <f t="shared" si="0"/>
        <v/>
      </c>
      <c r="E40">
        <v>40</v>
      </c>
      <c r="F40" s="3" t="s">
        <v>77</v>
      </c>
    </row>
    <row r="41" spans="1:6" ht="15.5" x14ac:dyDescent="0.35">
      <c r="A41" s="2" t="e">
        <f>IF(B41="","",MAX(A$1:A40)+1)</f>
        <v>#REF!</v>
      </c>
      <c r="B41" s="1" t="e">
        <f>IF(VLOOKUP(#REF!,#REF!,E41,FALSE)=#REF!,F41,"")</f>
        <v>#REF!</v>
      </c>
      <c r="C41" s="2" t="str">
        <f t="shared" si="0"/>
        <v/>
      </c>
      <c r="E41">
        <v>41</v>
      </c>
      <c r="F41" s="3" t="s">
        <v>78</v>
      </c>
    </row>
    <row r="42" spans="1:6" ht="15.5" x14ac:dyDescent="0.35">
      <c r="A42" s="2" t="e">
        <f>IF(B42="","",MAX(A$1:A41)+1)</f>
        <v>#REF!</v>
      </c>
      <c r="B42" s="1" t="e">
        <f>IF(VLOOKUP(#REF!,#REF!,E42,FALSE)=#REF!,F42,"")</f>
        <v>#REF!</v>
      </c>
      <c r="C42" s="2" t="str">
        <f t="shared" si="0"/>
        <v/>
      </c>
      <c r="E42">
        <v>42</v>
      </c>
      <c r="F42" s="3" t="s">
        <v>79</v>
      </c>
    </row>
    <row r="43" spans="1:6" ht="15.5" x14ac:dyDescent="0.35">
      <c r="A43" s="2" t="e">
        <f>IF(B43="","",MAX(A$1:A42)+1)</f>
        <v>#REF!</v>
      </c>
      <c r="B43" s="1" t="e">
        <f>IF(VLOOKUP(#REF!,#REF!,E43,FALSE)=#REF!,F43,"")</f>
        <v>#REF!</v>
      </c>
      <c r="C43" s="2" t="str">
        <f t="shared" si="0"/>
        <v/>
      </c>
      <c r="E43">
        <v>43</v>
      </c>
      <c r="F43" s="3" t="s">
        <v>80</v>
      </c>
    </row>
    <row r="44" spans="1:6" ht="15.5" x14ac:dyDescent="0.35">
      <c r="A44" s="2" t="e">
        <f>IF(B44="","",MAX(A$1:A43)+1)</f>
        <v>#REF!</v>
      </c>
      <c r="B44" s="1" t="e">
        <f>IF(VLOOKUP(#REF!,#REF!,E44,FALSE)=#REF!,F44,"")</f>
        <v>#REF!</v>
      </c>
      <c r="C44" s="2" t="str">
        <f t="shared" si="0"/>
        <v/>
      </c>
      <c r="E44">
        <v>44</v>
      </c>
      <c r="F44" s="3" t="s">
        <v>81</v>
      </c>
    </row>
    <row r="45" spans="1:6" ht="15.5" x14ac:dyDescent="0.35">
      <c r="A45" s="2" t="e">
        <f>IF(B45="","",MAX(A$1:A44)+1)</f>
        <v>#REF!</v>
      </c>
      <c r="B45" s="1" t="e">
        <f>IF(VLOOKUP(#REF!,#REF!,E45,FALSE)=#REF!,F45,"")</f>
        <v>#REF!</v>
      </c>
      <c r="C45" s="2" t="str">
        <f t="shared" si="0"/>
        <v/>
      </c>
      <c r="E45">
        <v>45</v>
      </c>
      <c r="F45" s="3" t="s">
        <v>82</v>
      </c>
    </row>
    <row r="46" spans="1:6" ht="15.5" x14ac:dyDescent="0.35">
      <c r="A46" s="2" t="e">
        <f>IF(B46="","",MAX(A$1:A45)+1)</f>
        <v>#REF!</v>
      </c>
      <c r="B46" s="1" t="e">
        <f>IF(VLOOKUP(#REF!,#REF!,E46,FALSE)=#REF!,F46,"")</f>
        <v>#REF!</v>
      </c>
      <c r="C46" s="2" t="str">
        <f t="shared" si="0"/>
        <v/>
      </c>
      <c r="E46">
        <v>46</v>
      </c>
      <c r="F46" s="3" t="s">
        <v>83</v>
      </c>
    </row>
    <row r="47" spans="1:6" ht="15.5" x14ac:dyDescent="0.35">
      <c r="A47" s="2" t="e">
        <f>IF(B47="","",MAX(A$1:A46)+1)</f>
        <v>#REF!</v>
      </c>
      <c r="B47" s="1" t="e">
        <f>IF(VLOOKUP(#REF!,#REF!,E47,FALSE)=#REF!,F47,"")</f>
        <v>#REF!</v>
      </c>
      <c r="C47" s="2" t="str">
        <f t="shared" si="0"/>
        <v/>
      </c>
      <c r="E47">
        <v>47</v>
      </c>
      <c r="F47" s="3" t="s">
        <v>84</v>
      </c>
    </row>
    <row r="48" spans="1:6" ht="15.5" x14ac:dyDescent="0.35">
      <c r="A48" s="2" t="e">
        <f>IF(B48="","",MAX(A$1:A47)+1)</f>
        <v>#REF!</v>
      </c>
      <c r="B48" s="1" t="e">
        <f>IF(VLOOKUP(#REF!,#REF!,E48,FALSE)=#REF!,F48,"")</f>
        <v>#REF!</v>
      </c>
      <c r="C48" s="2" t="str">
        <f t="shared" si="0"/>
        <v/>
      </c>
      <c r="E48">
        <v>48</v>
      </c>
      <c r="F48" s="3" t="s">
        <v>43</v>
      </c>
    </row>
    <row r="49" spans="1:6" ht="15.5" x14ac:dyDescent="0.35">
      <c r="A49" s="2" t="e">
        <f>IF(B49="","",MAX(A$1:A48)+1)</f>
        <v>#REF!</v>
      </c>
      <c r="B49" s="1" t="e">
        <f>IF(VLOOKUP(#REF!,#REF!,E49,FALSE)=#REF!,F49,"")</f>
        <v>#REF!</v>
      </c>
      <c r="C49" s="2" t="str">
        <f t="shared" si="0"/>
        <v/>
      </c>
      <c r="E49">
        <v>49</v>
      </c>
      <c r="F49" s="3" t="s">
        <v>85</v>
      </c>
    </row>
    <row r="50" spans="1:6" ht="15.5" x14ac:dyDescent="0.35">
      <c r="A50" s="2" t="e">
        <f>IF(B50="","",MAX(A$1:A49)+1)</f>
        <v>#REF!</v>
      </c>
      <c r="B50" s="1" t="e">
        <f>IF(VLOOKUP(#REF!,#REF!,E50,FALSE)=#REF!,F50,"")</f>
        <v>#REF!</v>
      </c>
      <c r="C50" s="2" t="str">
        <f t="shared" si="0"/>
        <v/>
      </c>
      <c r="E50">
        <v>50</v>
      </c>
      <c r="F50" s="3" t="s">
        <v>49</v>
      </c>
    </row>
    <row r="51" spans="1:6" ht="15.5" x14ac:dyDescent="0.35">
      <c r="A51" s="2" t="e">
        <f>IF(B51="","",MAX(A$1:A50)+1)</f>
        <v>#REF!</v>
      </c>
      <c r="B51" s="1" t="e">
        <f>IF(VLOOKUP(#REF!,#REF!,E51,FALSE)=#REF!,F51,"")</f>
        <v>#REF!</v>
      </c>
      <c r="C51" s="2" t="str">
        <f t="shared" si="0"/>
        <v/>
      </c>
      <c r="E51">
        <v>51</v>
      </c>
      <c r="F51" s="3" t="s">
        <v>86</v>
      </c>
    </row>
    <row r="52" spans="1:6" ht="15.5" x14ac:dyDescent="0.35">
      <c r="A52" s="2" t="e">
        <f>IF(B52="","",MAX(A$1:A51)+1)</f>
        <v>#REF!</v>
      </c>
      <c r="B52" s="1" t="e">
        <f>IF(VLOOKUP(#REF!,#REF!,E52,FALSE)=#REF!,F52,"")</f>
        <v>#REF!</v>
      </c>
      <c r="C52" s="2" t="str">
        <f t="shared" si="0"/>
        <v/>
      </c>
      <c r="E52">
        <v>52</v>
      </c>
      <c r="F52" s="3" t="s">
        <v>87</v>
      </c>
    </row>
    <row r="53" spans="1:6" ht="15.5" x14ac:dyDescent="0.35">
      <c r="A53" s="2" t="e">
        <f>IF(B53="","",MAX(A$1:A52)+1)</f>
        <v>#REF!</v>
      </c>
      <c r="B53" s="1" t="e">
        <f>IF(VLOOKUP(#REF!,#REF!,E53,FALSE)=#REF!,F53,"")</f>
        <v>#REF!</v>
      </c>
      <c r="C53" s="2" t="str">
        <f t="shared" si="0"/>
        <v/>
      </c>
      <c r="E53">
        <v>53</v>
      </c>
      <c r="F53" s="3" t="s">
        <v>88</v>
      </c>
    </row>
    <row r="54" spans="1:6" ht="15.5" x14ac:dyDescent="0.35">
      <c r="A54" s="2" t="e">
        <f>IF(B54="","",MAX(A$1:A53)+1)</f>
        <v>#REF!</v>
      </c>
      <c r="B54" s="1" t="e">
        <f>IF(VLOOKUP(#REF!,#REF!,E54,FALSE)=#REF!,F54,"")</f>
        <v>#REF!</v>
      </c>
      <c r="C54" s="2" t="str">
        <f t="shared" si="0"/>
        <v/>
      </c>
      <c r="E54">
        <v>54</v>
      </c>
      <c r="F54" s="3" t="s">
        <v>89</v>
      </c>
    </row>
    <row r="55" spans="1:6" ht="15.5" x14ac:dyDescent="0.35">
      <c r="A55" s="2" t="e">
        <f>IF(B55="","",MAX(A$1:A54)+1)</f>
        <v>#REF!</v>
      </c>
      <c r="B55" s="1" t="e">
        <f>IF(VLOOKUP(#REF!,#REF!,E55,FALSE)=#REF!,F55,"")</f>
        <v>#REF!</v>
      </c>
      <c r="C55" s="2" t="str">
        <f t="shared" si="0"/>
        <v/>
      </c>
      <c r="E55">
        <v>55</v>
      </c>
      <c r="F55" s="3" t="s">
        <v>90</v>
      </c>
    </row>
    <row r="56" spans="1:6" ht="15.5" x14ac:dyDescent="0.35">
      <c r="A56" s="2" t="e">
        <f>IF(B56="","",MAX(A$1:A55)+1)</f>
        <v>#REF!</v>
      </c>
      <c r="B56" s="1" t="e">
        <f>IF(VLOOKUP(#REF!,#REF!,E56,FALSE)=#REF!,F56,"")</f>
        <v>#REF!</v>
      </c>
      <c r="C56" s="2" t="str">
        <f t="shared" si="0"/>
        <v/>
      </c>
      <c r="E56">
        <v>56</v>
      </c>
      <c r="F56" s="3" t="s">
        <v>91</v>
      </c>
    </row>
    <row r="57" spans="1:6" ht="15.5" x14ac:dyDescent="0.35">
      <c r="A57" s="2" t="e">
        <f>IF(B57="","",MAX(A$1:A56)+1)</f>
        <v>#REF!</v>
      </c>
      <c r="B57" s="1" t="e">
        <f>IF(VLOOKUP(#REF!,#REF!,E57,FALSE)=#REF!,F57,"")</f>
        <v>#REF!</v>
      </c>
      <c r="C57" s="2" t="str">
        <f t="shared" si="0"/>
        <v/>
      </c>
      <c r="E57">
        <v>57</v>
      </c>
      <c r="F57" s="3" t="s">
        <v>92</v>
      </c>
    </row>
    <row r="58" spans="1:6" ht="15.5" x14ac:dyDescent="0.35">
      <c r="A58" s="2" t="e">
        <f>IF(B58="","",MAX(A$1:A57)+1)</f>
        <v>#REF!</v>
      </c>
      <c r="B58" s="1" t="e">
        <f>IF(VLOOKUP(#REF!,#REF!,E58,FALSE)=#REF!,F58,"")</f>
        <v>#REF!</v>
      </c>
      <c r="C58" s="2" t="str">
        <f t="shared" si="0"/>
        <v/>
      </c>
      <c r="E58">
        <v>58</v>
      </c>
      <c r="F58" s="3" t="s">
        <v>93</v>
      </c>
    </row>
    <row r="59" spans="1:6" ht="15.5" x14ac:dyDescent="0.35">
      <c r="A59" s="2" t="e">
        <f>IF(B59="","",MAX(A$1:A58)+1)</f>
        <v>#REF!</v>
      </c>
      <c r="B59" s="1" t="e">
        <f>IF(VLOOKUP(#REF!,#REF!,E59,FALSE)=#REF!,F59,"")</f>
        <v>#REF!</v>
      </c>
      <c r="C59" s="2" t="str">
        <f t="shared" si="0"/>
        <v/>
      </c>
      <c r="E59">
        <v>59</v>
      </c>
      <c r="F59" s="3" t="s">
        <v>94</v>
      </c>
    </row>
    <row r="60" spans="1:6" ht="15.5" x14ac:dyDescent="0.35">
      <c r="A60" s="2" t="e">
        <f>IF(B60="","",MAX(A$1:A59)+1)</f>
        <v>#REF!</v>
      </c>
      <c r="B60" s="1" t="e">
        <f>IF(VLOOKUP(#REF!,#REF!,E60,FALSE)=#REF!,F60,"")</f>
        <v>#REF!</v>
      </c>
      <c r="C60" s="2" t="str">
        <f t="shared" si="0"/>
        <v/>
      </c>
      <c r="E60">
        <v>60</v>
      </c>
      <c r="F60" s="3" t="s">
        <v>95</v>
      </c>
    </row>
    <row r="61" spans="1:6" ht="15.5" x14ac:dyDescent="0.35">
      <c r="A61" s="2" t="e">
        <f>IF(B61="","",MAX(A$1:A60)+1)</f>
        <v>#REF!</v>
      </c>
      <c r="B61" s="1" t="e">
        <f>IF(VLOOKUP(#REF!,#REF!,E61,FALSE)=#REF!,F61,"")</f>
        <v>#REF!</v>
      </c>
      <c r="C61" s="2" t="str">
        <f t="shared" si="0"/>
        <v/>
      </c>
      <c r="E61">
        <v>61</v>
      </c>
      <c r="F61" s="3" t="s">
        <v>96</v>
      </c>
    </row>
    <row r="62" spans="1:6" ht="15.5" x14ac:dyDescent="0.35">
      <c r="A62" s="2" t="e">
        <f>IF(B62="","",MAX(A$1:A61)+1)</f>
        <v>#REF!</v>
      </c>
      <c r="B62" s="1" t="e">
        <f>IF(VLOOKUP(#REF!,#REF!,E62,FALSE)=#REF!,F62,"")</f>
        <v>#REF!</v>
      </c>
      <c r="C62" s="2" t="str">
        <f t="shared" si="0"/>
        <v/>
      </c>
      <c r="E62">
        <v>62</v>
      </c>
      <c r="F62" s="3" t="s">
        <v>97</v>
      </c>
    </row>
    <row r="63" spans="1:6" ht="15.5" x14ac:dyDescent="0.35">
      <c r="A63" s="2" t="e">
        <f>IF(B63="","",MAX(A$1:A62)+1)</f>
        <v>#REF!</v>
      </c>
      <c r="B63" s="1" t="e">
        <f>IF(VLOOKUP(#REF!,#REF!,E63,FALSE)=#REF!,F63,"")</f>
        <v>#REF!</v>
      </c>
      <c r="C63" s="2" t="str">
        <f t="shared" si="0"/>
        <v/>
      </c>
      <c r="E63">
        <v>63</v>
      </c>
      <c r="F63" s="3" t="s">
        <v>98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 Sheet</vt:lpstr>
      <vt:lpstr>Final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whatsapp</dc:creator>
  <cp:lastModifiedBy>Sriram Sundaran</cp:lastModifiedBy>
  <cp:lastPrinted>2019-12-05T10:22:32Z</cp:lastPrinted>
  <dcterms:created xsi:type="dcterms:W3CDTF">2019-09-25T04:51:33Z</dcterms:created>
  <dcterms:modified xsi:type="dcterms:W3CDTF">2022-03-15T07:55:18Z</dcterms:modified>
</cp:coreProperties>
</file>